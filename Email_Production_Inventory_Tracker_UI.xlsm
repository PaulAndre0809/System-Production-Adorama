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"/>
    </mc:Choice>
  </mc:AlternateContent>
  <xr:revisionPtr revIDLastSave="0" documentId="13_ncr:1_{C26A73EB-4C92-4AE4-85E4-A8BD711401EC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Dashboard" sheetId="2" r:id="rId1"/>
    <sheet name="Production Inventory" sheetId="1" r:id="rId2"/>
    <sheet name="January Calendar" sheetId="8" r:id="rId3"/>
    <sheet name="February Calendar" sheetId="9" r:id="rId4"/>
    <sheet name="March Calendar" sheetId="10" r:id="rId5"/>
    <sheet name="April Calendar" sheetId="11" r:id="rId6"/>
    <sheet name="May Calendar" sheetId="12" r:id="rId7"/>
    <sheet name="June Calendar" sheetId="3" r:id="rId8"/>
    <sheet name="July Calendar" sheetId="13" r:id="rId9"/>
    <sheet name="August Calendar" sheetId="14" r:id="rId10"/>
    <sheet name="September Calendar" sheetId="15" r:id="rId11"/>
    <sheet name="October Calendar" sheetId="16" r:id="rId12"/>
    <sheet name="November Calendar" sheetId="17" r:id="rId13"/>
    <sheet name="December Calendar" sheetId="18" r:id="rId14"/>
    <sheet name="Dropdowns" sheetId="4" state="veryHidden" r:id="rId15"/>
    <sheet name="Automation Log" sheetId="5" state="veryHidden" r:id="rId16"/>
  </sheets>
  <definedNames>
    <definedName name="_xlpm.d" hidden="1" xlm="1">#NAME?</definedName>
    <definedName name="_xlpm.first" hidden="1" xlm="1">#NAME?</definedName>
    <definedName name="_xlpm.items" hidden="1" xlm="1">#NAME?</definedName>
    <definedName name="_xlnm.Print_Area" localSheetId="5">'April Calendar'!$A$1:$G$12</definedName>
    <definedName name="_xlnm.Print_Area" localSheetId="9">'August Calendar'!$A$1:$G$12</definedName>
    <definedName name="_xlnm.Print_Area" localSheetId="13">'December Calendar'!$A$1:$G$12</definedName>
    <definedName name="_xlnm.Print_Area" localSheetId="3">'February Calendar'!$A$1:$G$12</definedName>
    <definedName name="_xlnm.Print_Area" localSheetId="2">'January Calendar'!$A$1:$G$12</definedName>
    <definedName name="_xlnm.Print_Area" localSheetId="8">'July Calendar'!$A$1:$G$12</definedName>
    <definedName name="_xlnm.Print_Area" localSheetId="7">'June Calendar'!$A$1:$G$12</definedName>
    <definedName name="_xlnm.Print_Area" localSheetId="4">'March Calendar'!$A$1:$G$12</definedName>
    <definedName name="_xlnm.Print_Area" localSheetId="6">'May Calendar'!$A$1:$G$12</definedName>
    <definedName name="_xlnm.Print_Area" localSheetId="12">'November Calendar'!$A$1:$G$12</definedName>
    <definedName name="_xlnm.Print_Area" localSheetId="11">'October Calendar'!$A$1:$G$12</definedName>
    <definedName name="_xlnm.Print_Area" localSheetId="10">'September Calendar'!$A$1:$G$12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C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C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C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C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C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C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C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C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C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C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C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C3" i="8"/>
  <c r="A1" i="8"/>
  <c r="E2" i="1"/>
  <c r="E3" i="1"/>
  <c r="E12" i="2" s="1"/>
  <c r="E4" i="1"/>
  <c r="E13" i="2" s="1"/>
  <c r="E5" i="1"/>
  <c r="E14" i="2" s="1"/>
  <c r="E6" i="1"/>
  <c r="E15" i="2" s="1"/>
  <c r="E7" i="1"/>
  <c r="E16" i="2" s="1"/>
  <c r="E8" i="1"/>
  <c r="E17" i="2" s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D119" i="2"/>
  <c r="D118" i="2"/>
  <c r="D117" i="2"/>
  <c r="D116" i="2"/>
  <c r="D115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L108" i="2"/>
  <c r="K108" i="2"/>
  <c r="J108" i="2"/>
  <c r="I108" i="2"/>
  <c r="H108" i="2"/>
  <c r="G108" i="2"/>
  <c r="F108" i="2"/>
  <c r="E108" i="2"/>
  <c r="D108" i="2"/>
  <c r="C108" i="2"/>
  <c r="B108" i="2"/>
  <c r="A108" i="2"/>
  <c r="L107" i="2"/>
  <c r="K107" i="2"/>
  <c r="J107" i="2"/>
  <c r="I107" i="2"/>
  <c r="H107" i="2"/>
  <c r="G107" i="2"/>
  <c r="F107" i="2"/>
  <c r="E107" i="2"/>
  <c r="D107" i="2"/>
  <c r="C107" i="2"/>
  <c r="B107" i="2"/>
  <c r="A107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L105" i="2"/>
  <c r="K105" i="2"/>
  <c r="J105" i="2"/>
  <c r="I105" i="2"/>
  <c r="H105" i="2"/>
  <c r="G105" i="2"/>
  <c r="F105" i="2"/>
  <c r="E105" i="2"/>
  <c r="D105" i="2"/>
  <c r="C105" i="2"/>
  <c r="B105" i="2"/>
  <c r="A105" i="2"/>
  <c r="L104" i="2"/>
  <c r="K104" i="2"/>
  <c r="J104" i="2"/>
  <c r="I104" i="2"/>
  <c r="H104" i="2"/>
  <c r="G104" i="2"/>
  <c r="F104" i="2"/>
  <c r="E104" i="2"/>
  <c r="D104" i="2"/>
  <c r="C104" i="2"/>
  <c r="B104" i="2"/>
  <c r="A104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L100" i="2"/>
  <c r="K100" i="2"/>
  <c r="J100" i="2"/>
  <c r="I100" i="2"/>
  <c r="H100" i="2"/>
  <c r="G100" i="2"/>
  <c r="F100" i="2"/>
  <c r="E100" i="2"/>
  <c r="D100" i="2"/>
  <c r="C100" i="2"/>
  <c r="B100" i="2"/>
  <c r="A100" i="2"/>
  <c r="L99" i="2"/>
  <c r="K99" i="2"/>
  <c r="J99" i="2"/>
  <c r="I99" i="2"/>
  <c r="H99" i="2"/>
  <c r="G99" i="2"/>
  <c r="F99" i="2"/>
  <c r="E99" i="2"/>
  <c r="D99" i="2"/>
  <c r="C99" i="2"/>
  <c r="B99" i="2"/>
  <c r="A99" i="2"/>
  <c r="L98" i="2"/>
  <c r="K98" i="2"/>
  <c r="J98" i="2"/>
  <c r="I98" i="2"/>
  <c r="H98" i="2"/>
  <c r="G98" i="2"/>
  <c r="F98" i="2"/>
  <c r="E98" i="2"/>
  <c r="D98" i="2"/>
  <c r="C98" i="2"/>
  <c r="B98" i="2"/>
  <c r="A98" i="2"/>
  <c r="L97" i="2"/>
  <c r="K97" i="2"/>
  <c r="J97" i="2"/>
  <c r="I97" i="2"/>
  <c r="H97" i="2"/>
  <c r="G97" i="2"/>
  <c r="F97" i="2"/>
  <c r="E97" i="2"/>
  <c r="D97" i="2"/>
  <c r="C97" i="2"/>
  <c r="B97" i="2"/>
  <c r="A97" i="2"/>
  <c r="L96" i="2"/>
  <c r="K96" i="2"/>
  <c r="J96" i="2"/>
  <c r="I96" i="2"/>
  <c r="H96" i="2"/>
  <c r="G96" i="2"/>
  <c r="F96" i="2"/>
  <c r="E96" i="2"/>
  <c r="D96" i="2"/>
  <c r="C96" i="2"/>
  <c r="B96" i="2"/>
  <c r="A96" i="2"/>
  <c r="L95" i="2"/>
  <c r="K95" i="2"/>
  <c r="J95" i="2"/>
  <c r="I95" i="2"/>
  <c r="H95" i="2"/>
  <c r="G95" i="2"/>
  <c r="F95" i="2"/>
  <c r="E95" i="2"/>
  <c r="D95" i="2"/>
  <c r="C95" i="2"/>
  <c r="B95" i="2"/>
  <c r="A95" i="2"/>
  <c r="L94" i="2"/>
  <c r="K94" i="2"/>
  <c r="J94" i="2"/>
  <c r="I94" i="2"/>
  <c r="H94" i="2"/>
  <c r="G94" i="2"/>
  <c r="F94" i="2"/>
  <c r="E94" i="2"/>
  <c r="D94" i="2"/>
  <c r="C94" i="2"/>
  <c r="B94" i="2"/>
  <c r="A94" i="2"/>
  <c r="L93" i="2"/>
  <c r="K93" i="2"/>
  <c r="J93" i="2"/>
  <c r="I93" i="2"/>
  <c r="H93" i="2"/>
  <c r="G93" i="2"/>
  <c r="F93" i="2"/>
  <c r="E93" i="2"/>
  <c r="D93" i="2"/>
  <c r="C93" i="2"/>
  <c r="B93" i="2"/>
  <c r="A93" i="2"/>
  <c r="L92" i="2"/>
  <c r="K92" i="2"/>
  <c r="J92" i="2"/>
  <c r="I92" i="2"/>
  <c r="H92" i="2"/>
  <c r="G92" i="2"/>
  <c r="F92" i="2"/>
  <c r="E92" i="2"/>
  <c r="D92" i="2"/>
  <c r="C92" i="2"/>
  <c r="B92" i="2"/>
  <c r="A92" i="2"/>
  <c r="L91" i="2"/>
  <c r="K91" i="2"/>
  <c r="J91" i="2"/>
  <c r="I91" i="2"/>
  <c r="H91" i="2"/>
  <c r="G91" i="2"/>
  <c r="F91" i="2"/>
  <c r="E91" i="2"/>
  <c r="D91" i="2"/>
  <c r="C91" i="2"/>
  <c r="B91" i="2"/>
  <c r="A91" i="2"/>
  <c r="L90" i="2"/>
  <c r="K90" i="2"/>
  <c r="J90" i="2"/>
  <c r="I90" i="2"/>
  <c r="H90" i="2"/>
  <c r="G90" i="2"/>
  <c r="F90" i="2"/>
  <c r="E90" i="2"/>
  <c r="D90" i="2"/>
  <c r="C90" i="2"/>
  <c r="B90" i="2"/>
  <c r="A90" i="2"/>
  <c r="L89" i="2"/>
  <c r="K89" i="2"/>
  <c r="J89" i="2"/>
  <c r="I89" i="2"/>
  <c r="H89" i="2"/>
  <c r="G89" i="2"/>
  <c r="F89" i="2"/>
  <c r="E89" i="2"/>
  <c r="D89" i="2"/>
  <c r="C89" i="2"/>
  <c r="B89" i="2"/>
  <c r="A89" i="2"/>
  <c r="L88" i="2"/>
  <c r="K88" i="2"/>
  <c r="J88" i="2"/>
  <c r="I88" i="2"/>
  <c r="H88" i="2"/>
  <c r="G88" i="2"/>
  <c r="F88" i="2"/>
  <c r="E88" i="2"/>
  <c r="D88" i="2"/>
  <c r="C88" i="2"/>
  <c r="B88" i="2"/>
  <c r="A88" i="2"/>
  <c r="L87" i="2"/>
  <c r="K87" i="2"/>
  <c r="J87" i="2"/>
  <c r="I87" i="2"/>
  <c r="H87" i="2"/>
  <c r="G87" i="2"/>
  <c r="F87" i="2"/>
  <c r="E87" i="2"/>
  <c r="D87" i="2"/>
  <c r="C87" i="2"/>
  <c r="B87" i="2"/>
  <c r="A87" i="2"/>
  <c r="L86" i="2"/>
  <c r="K86" i="2"/>
  <c r="J86" i="2"/>
  <c r="I86" i="2"/>
  <c r="H86" i="2"/>
  <c r="G86" i="2"/>
  <c r="F86" i="2"/>
  <c r="E86" i="2"/>
  <c r="D86" i="2"/>
  <c r="C86" i="2"/>
  <c r="B86" i="2"/>
  <c r="A86" i="2"/>
  <c r="L85" i="2"/>
  <c r="K85" i="2"/>
  <c r="J85" i="2"/>
  <c r="I85" i="2"/>
  <c r="H85" i="2"/>
  <c r="G85" i="2"/>
  <c r="F85" i="2"/>
  <c r="E85" i="2"/>
  <c r="D85" i="2"/>
  <c r="C85" i="2"/>
  <c r="B85" i="2"/>
  <c r="A85" i="2"/>
  <c r="L84" i="2"/>
  <c r="K84" i="2"/>
  <c r="J84" i="2"/>
  <c r="I84" i="2"/>
  <c r="H84" i="2"/>
  <c r="G84" i="2"/>
  <c r="F84" i="2"/>
  <c r="E84" i="2"/>
  <c r="D84" i="2"/>
  <c r="C84" i="2"/>
  <c r="B84" i="2"/>
  <c r="A84" i="2"/>
  <c r="L83" i="2"/>
  <c r="K83" i="2"/>
  <c r="J83" i="2"/>
  <c r="I83" i="2"/>
  <c r="H83" i="2"/>
  <c r="G83" i="2"/>
  <c r="F83" i="2"/>
  <c r="E83" i="2"/>
  <c r="D83" i="2"/>
  <c r="C83" i="2"/>
  <c r="B83" i="2"/>
  <c r="A83" i="2"/>
  <c r="L82" i="2"/>
  <c r="K82" i="2"/>
  <c r="J82" i="2"/>
  <c r="I82" i="2"/>
  <c r="H82" i="2"/>
  <c r="G82" i="2"/>
  <c r="F82" i="2"/>
  <c r="E82" i="2"/>
  <c r="D82" i="2"/>
  <c r="C82" i="2"/>
  <c r="B82" i="2"/>
  <c r="A82" i="2"/>
  <c r="L81" i="2"/>
  <c r="K81" i="2"/>
  <c r="J81" i="2"/>
  <c r="I81" i="2"/>
  <c r="H81" i="2"/>
  <c r="G81" i="2"/>
  <c r="F81" i="2"/>
  <c r="E81" i="2"/>
  <c r="D81" i="2"/>
  <c r="C81" i="2"/>
  <c r="B81" i="2"/>
  <c r="A81" i="2"/>
  <c r="L80" i="2"/>
  <c r="K80" i="2"/>
  <c r="J80" i="2"/>
  <c r="I80" i="2"/>
  <c r="H80" i="2"/>
  <c r="G80" i="2"/>
  <c r="F80" i="2"/>
  <c r="E80" i="2"/>
  <c r="D80" i="2"/>
  <c r="C80" i="2"/>
  <c r="B80" i="2"/>
  <c r="A80" i="2"/>
  <c r="L79" i="2"/>
  <c r="K79" i="2"/>
  <c r="J79" i="2"/>
  <c r="I79" i="2"/>
  <c r="H79" i="2"/>
  <c r="G79" i="2"/>
  <c r="F79" i="2"/>
  <c r="E79" i="2"/>
  <c r="D79" i="2"/>
  <c r="C79" i="2"/>
  <c r="B79" i="2"/>
  <c r="A79" i="2"/>
  <c r="L78" i="2"/>
  <c r="K78" i="2"/>
  <c r="J78" i="2"/>
  <c r="I78" i="2"/>
  <c r="H78" i="2"/>
  <c r="G78" i="2"/>
  <c r="F78" i="2"/>
  <c r="E78" i="2"/>
  <c r="D78" i="2"/>
  <c r="C78" i="2"/>
  <c r="B78" i="2"/>
  <c r="A78" i="2"/>
  <c r="L77" i="2"/>
  <c r="K77" i="2"/>
  <c r="J77" i="2"/>
  <c r="I77" i="2"/>
  <c r="H77" i="2"/>
  <c r="G77" i="2"/>
  <c r="F77" i="2"/>
  <c r="E77" i="2"/>
  <c r="D77" i="2"/>
  <c r="C77" i="2"/>
  <c r="B77" i="2"/>
  <c r="A77" i="2"/>
  <c r="L76" i="2"/>
  <c r="K76" i="2"/>
  <c r="J76" i="2"/>
  <c r="I76" i="2"/>
  <c r="H76" i="2"/>
  <c r="G76" i="2"/>
  <c r="F76" i="2"/>
  <c r="E76" i="2"/>
  <c r="D76" i="2"/>
  <c r="C76" i="2"/>
  <c r="B76" i="2"/>
  <c r="A76" i="2"/>
  <c r="L75" i="2"/>
  <c r="K75" i="2"/>
  <c r="J75" i="2"/>
  <c r="I75" i="2"/>
  <c r="H75" i="2"/>
  <c r="G75" i="2"/>
  <c r="F75" i="2"/>
  <c r="E75" i="2"/>
  <c r="D75" i="2"/>
  <c r="C75" i="2"/>
  <c r="B75" i="2"/>
  <c r="A75" i="2"/>
  <c r="L74" i="2"/>
  <c r="K74" i="2"/>
  <c r="J74" i="2"/>
  <c r="I74" i="2"/>
  <c r="H74" i="2"/>
  <c r="G74" i="2"/>
  <c r="F74" i="2"/>
  <c r="E74" i="2"/>
  <c r="D74" i="2"/>
  <c r="C74" i="2"/>
  <c r="B74" i="2"/>
  <c r="A74" i="2"/>
  <c r="L73" i="2"/>
  <c r="K73" i="2"/>
  <c r="J73" i="2"/>
  <c r="I73" i="2"/>
  <c r="H73" i="2"/>
  <c r="G73" i="2"/>
  <c r="F73" i="2"/>
  <c r="E73" i="2"/>
  <c r="D73" i="2"/>
  <c r="C73" i="2"/>
  <c r="B73" i="2"/>
  <c r="A73" i="2"/>
  <c r="L72" i="2"/>
  <c r="K72" i="2"/>
  <c r="J72" i="2"/>
  <c r="I72" i="2"/>
  <c r="H72" i="2"/>
  <c r="G72" i="2"/>
  <c r="F72" i="2"/>
  <c r="E72" i="2"/>
  <c r="D72" i="2"/>
  <c r="C72" i="2"/>
  <c r="B72" i="2"/>
  <c r="A72" i="2"/>
  <c r="L71" i="2"/>
  <c r="K71" i="2"/>
  <c r="J71" i="2"/>
  <c r="I71" i="2"/>
  <c r="H71" i="2"/>
  <c r="G71" i="2"/>
  <c r="F71" i="2"/>
  <c r="E71" i="2"/>
  <c r="D71" i="2"/>
  <c r="C71" i="2"/>
  <c r="B71" i="2"/>
  <c r="A71" i="2"/>
  <c r="L70" i="2"/>
  <c r="K70" i="2"/>
  <c r="J70" i="2"/>
  <c r="I70" i="2"/>
  <c r="H70" i="2"/>
  <c r="G70" i="2"/>
  <c r="F70" i="2"/>
  <c r="E70" i="2"/>
  <c r="D70" i="2"/>
  <c r="C70" i="2"/>
  <c r="B70" i="2"/>
  <c r="A70" i="2"/>
  <c r="L69" i="2"/>
  <c r="K69" i="2"/>
  <c r="J69" i="2"/>
  <c r="I69" i="2"/>
  <c r="H69" i="2"/>
  <c r="G69" i="2"/>
  <c r="F69" i="2"/>
  <c r="E69" i="2"/>
  <c r="D69" i="2"/>
  <c r="C69" i="2"/>
  <c r="B69" i="2"/>
  <c r="A69" i="2"/>
  <c r="L68" i="2"/>
  <c r="K68" i="2"/>
  <c r="J68" i="2"/>
  <c r="I68" i="2"/>
  <c r="H68" i="2"/>
  <c r="G68" i="2"/>
  <c r="F68" i="2"/>
  <c r="E68" i="2"/>
  <c r="D68" i="2"/>
  <c r="C68" i="2"/>
  <c r="B68" i="2"/>
  <c r="A68" i="2"/>
  <c r="L67" i="2"/>
  <c r="K67" i="2"/>
  <c r="J67" i="2"/>
  <c r="I67" i="2"/>
  <c r="H67" i="2"/>
  <c r="G67" i="2"/>
  <c r="F67" i="2"/>
  <c r="E67" i="2"/>
  <c r="D67" i="2"/>
  <c r="C67" i="2"/>
  <c r="B67" i="2"/>
  <c r="A67" i="2"/>
  <c r="L66" i="2"/>
  <c r="K66" i="2"/>
  <c r="J66" i="2"/>
  <c r="I66" i="2"/>
  <c r="H66" i="2"/>
  <c r="G66" i="2"/>
  <c r="F66" i="2"/>
  <c r="E66" i="2"/>
  <c r="D66" i="2"/>
  <c r="C66" i="2"/>
  <c r="B66" i="2"/>
  <c r="A66" i="2"/>
  <c r="L65" i="2"/>
  <c r="K65" i="2"/>
  <c r="J65" i="2"/>
  <c r="I65" i="2"/>
  <c r="H65" i="2"/>
  <c r="G65" i="2"/>
  <c r="F65" i="2"/>
  <c r="E65" i="2"/>
  <c r="D65" i="2"/>
  <c r="C65" i="2"/>
  <c r="B65" i="2"/>
  <c r="A65" i="2"/>
  <c r="L64" i="2"/>
  <c r="K64" i="2"/>
  <c r="J64" i="2"/>
  <c r="I64" i="2"/>
  <c r="H64" i="2"/>
  <c r="G64" i="2"/>
  <c r="F64" i="2"/>
  <c r="E64" i="2"/>
  <c r="D64" i="2"/>
  <c r="C64" i="2"/>
  <c r="B64" i="2"/>
  <c r="A64" i="2"/>
  <c r="L63" i="2"/>
  <c r="K63" i="2"/>
  <c r="J63" i="2"/>
  <c r="I63" i="2"/>
  <c r="H63" i="2"/>
  <c r="G63" i="2"/>
  <c r="F63" i="2"/>
  <c r="E63" i="2"/>
  <c r="D63" i="2"/>
  <c r="C63" i="2"/>
  <c r="B63" i="2"/>
  <c r="A63" i="2"/>
  <c r="L62" i="2"/>
  <c r="K62" i="2"/>
  <c r="J62" i="2"/>
  <c r="I62" i="2"/>
  <c r="H62" i="2"/>
  <c r="G62" i="2"/>
  <c r="F62" i="2"/>
  <c r="E62" i="2"/>
  <c r="D62" i="2"/>
  <c r="C62" i="2"/>
  <c r="B62" i="2"/>
  <c r="A62" i="2"/>
  <c r="L61" i="2"/>
  <c r="K61" i="2"/>
  <c r="J61" i="2"/>
  <c r="I61" i="2"/>
  <c r="H61" i="2"/>
  <c r="G61" i="2"/>
  <c r="F61" i="2"/>
  <c r="E61" i="2"/>
  <c r="D61" i="2"/>
  <c r="C61" i="2"/>
  <c r="B61" i="2"/>
  <c r="A61" i="2"/>
  <c r="L60" i="2"/>
  <c r="K60" i="2"/>
  <c r="J60" i="2"/>
  <c r="I60" i="2"/>
  <c r="H60" i="2"/>
  <c r="G60" i="2"/>
  <c r="F60" i="2"/>
  <c r="E60" i="2"/>
  <c r="D60" i="2"/>
  <c r="C60" i="2"/>
  <c r="B60" i="2"/>
  <c r="A60" i="2"/>
  <c r="L59" i="2"/>
  <c r="K59" i="2"/>
  <c r="J59" i="2"/>
  <c r="I59" i="2"/>
  <c r="H59" i="2"/>
  <c r="G59" i="2"/>
  <c r="F59" i="2"/>
  <c r="E59" i="2"/>
  <c r="D59" i="2"/>
  <c r="C59" i="2"/>
  <c r="B59" i="2"/>
  <c r="A59" i="2"/>
  <c r="L58" i="2"/>
  <c r="K58" i="2"/>
  <c r="J58" i="2"/>
  <c r="I58" i="2"/>
  <c r="H58" i="2"/>
  <c r="G58" i="2"/>
  <c r="F58" i="2"/>
  <c r="E58" i="2"/>
  <c r="D58" i="2"/>
  <c r="C58" i="2"/>
  <c r="B58" i="2"/>
  <c r="A58" i="2"/>
  <c r="L57" i="2"/>
  <c r="K57" i="2"/>
  <c r="J57" i="2"/>
  <c r="I57" i="2"/>
  <c r="H57" i="2"/>
  <c r="G57" i="2"/>
  <c r="F57" i="2"/>
  <c r="E57" i="2"/>
  <c r="D57" i="2"/>
  <c r="C57" i="2"/>
  <c r="B57" i="2"/>
  <c r="A57" i="2"/>
  <c r="L56" i="2"/>
  <c r="K56" i="2"/>
  <c r="J56" i="2"/>
  <c r="I56" i="2"/>
  <c r="H56" i="2"/>
  <c r="G56" i="2"/>
  <c r="F56" i="2"/>
  <c r="E56" i="2"/>
  <c r="D56" i="2"/>
  <c r="C56" i="2"/>
  <c r="B56" i="2"/>
  <c r="A56" i="2"/>
  <c r="L55" i="2"/>
  <c r="K55" i="2"/>
  <c r="J55" i="2"/>
  <c r="I55" i="2"/>
  <c r="H55" i="2"/>
  <c r="G55" i="2"/>
  <c r="F55" i="2"/>
  <c r="E55" i="2"/>
  <c r="D55" i="2"/>
  <c r="C55" i="2"/>
  <c r="B55" i="2"/>
  <c r="A55" i="2"/>
  <c r="L54" i="2"/>
  <c r="K54" i="2"/>
  <c r="J54" i="2"/>
  <c r="I54" i="2"/>
  <c r="H54" i="2"/>
  <c r="G54" i="2"/>
  <c r="F54" i="2"/>
  <c r="E54" i="2"/>
  <c r="D54" i="2"/>
  <c r="C54" i="2"/>
  <c r="B54" i="2"/>
  <c r="A54" i="2"/>
  <c r="L53" i="2"/>
  <c r="K53" i="2"/>
  <c r="J53" i="2"/>
  <c r="I53" i="2"/>
  <c r="H53" i="2"/>
  <c r="G53" i="2"/>
  <c r="F53" i="2"/>
  <c r="E53" i="2"/>
  <c r="D53" i="2"/>
  <c r="C53" i="2"/>
  <c r="B53" i="2"/>
  <c r="A53" i="2"/>
  <c r="L52" i="2"/>
  <c r="K52" i="2"/>
  <c r="J52" i="2"/>
  <c r="I52" i="2"/>
  <c r="H52" i="2"/>
  <c r="G52" i="2"/>
  <c r="F52" i="2"/>
  <c r="E52" i="2"/>
  <c r="D52" i="2"/>
  <c r="C52" i="2"/>
  <c r="B52" i="2"/>
  <c r="A52" i="2"/>
  <c r="L51" i="2"/>
  <c r="K51" i="2"/>
  <c r="J51" i="2"/>
  <c r="I51" i="2"/>
  <c r="H51" i="2"/>
  <c r="G51" i="2"/>
  <c r="F51" i="2"/>
  <c r="E51" i="2"/>
  <c r="D51" i="2"/>
  <c r="C51" i="2"/>
  <c r="B51" i="2"/>
  <c r="A51" i="2"/>
  <c r="L50" i="2"/>
  <c r="K50" i="2"/>
  <c r="J50" i="2"/>
  <c r="I50" i="2"/>
  <c r="H50" i="2"/>
  <c r="G50" i="2"/>
  <c r="F50" i="2"/>
  <c r="E50" i="2"/>
  <c r="D50" i="2"/>
  <c r="C50" i="2"/>
  <c r="B50" i="2"/>
  <c r="A50" i="2"/>
  <c r="L49" i="2"/>
  <c r="K49" i="2"/>
  <c r="J49" i="2"/>
  <c r="I49" i="2"/>
  <c r="H49" i="2"/>
  <c r="G49" i="2"/>
  <c r="F49" i="2"/>
  <c r="E49" i="2"/>
  <c r="D49" i="2"/>
  <c r="C49" i="2"/>
  <c r="B49" i="2"/>
  <c r="A49" i="2"/>
  <c r="L48" i="2"/>
  <c r="K48" i="2"/>
  <c r="J48" i="2"/>
  <c r="I48" i="2"/>
  <c r="H48" i="2"/>
  <c r="G48" i="2"/>
  <c r="F48" i="2"/>
  <c r="E48" i="2"/>
  <c r="D48" i="2"/>
  <c r="C48" i="2"/>
  <c r="B48" i="2"/>
  <c r="A48" i="2"/>
  <c r="L47" i="2"/>
  <c r="K47" i="2"/>
  <c r="J47" i="2"/>
  <c r="I47" i="2"/>
  <c r="H47" i="2"/>
  <c r="G47" i="2"/>
  <c r="F47" i="2"/>
  <c r="E47" i="2"/>
  <c r="D47" i="2"/>
  <c r="C47" i="2"/>
  <c r="B47" i="2"/>
  <c r="A47" i="2"/>
  <c r="L46" i="2"/>
  <c r="K46" i="2"/>
  <c r="J46" i="2"/>
  <c r="I46" i="2"/>
  <c r="H46" i="2"/>
  <c r="G46" i="2"/>
  <c r="F46" i="2"/>
  <c r="E46" i="2"/>
  <c r="D46" i="2"/>
  <c r="C46" i="2"/>
  <c r="B46" i="2"/>
  <c r="A46" i="2"/>
  <c r="L45" i="2"/>
  <c r="K45" i="2"/>
  <c r="J45" i="2"/>
  <c r="I45" i="2"/>
  <c r="H45" i="2"/>
  <c r="G45" i="2"/>
  <c r="F45" i="2"/>
  <c r="E45" i="2"/>
  <c r="D45" i="2"/>
  <c r="C45" i="2"/>
  <c r="B45" i="2"/>
  <c r="A45" i="2"/>
  <c r="L44" i="2"/>
  <c r="K44" i="2"/>
  <c r="J44" i="2"/>
  <c r="I44" i="2"/>
  <c r="H44" i="2"/>
  <c r="G44" i="2"/>
  <c r="F44" i="2"/>
  <c r="E44" i="2"/>
  <c r="D44" i="2"/>
  <c r="C44" i="2"/>
  <c r="B44" i="2"/>
  <c r="A44" i="2"/>
  <c r="L43" i="2"/>
  <c r="K43" i="2"/>
  <c r="J43" i="2"/>
  <c r="I43" i="2"/>
  <c r="H43" i="2"/>
  <c r="G43" i="2"/>
  <c r="F43" i="2"/>
  <c r="E43" i="2"/>
  <c r="D43" i="2"/>
  <c r="C43" i="2"/>
  <c r="B43" i="2"/>
  <c r="A43" i="2"/>
  <c r="L42" i="2"/>
  <c r="K42" i="2"/>
  <c r="J42" i="2"/>
  <c r="I42" i="2"/>
  <c r="H42" i="2"/>
  <c r="G42" i="2"/>
  <c r="F42" i="2"/>
  <c r="E42" i="2"/>
  <c r="D42" i="2"/>
  <c r="C42" i="2"/>
  <c r="B42" i="2"/>
  <c r="A42" i="2"/>
  <c r="L41" i="2"/>
  <c r="K41" i="2"/>
  <c r="J41" i="2"/>
  <c r="I41" i="2"/>
  <c r="H41" i="2"/>
  <c r="G41" i="2"/>
  <c r="F41" i="2"/>
  <c r="E41" i="2"/>
  <c r="D41" i="2"/>
  <c r="C41" i="2"/>
  <c r="B41" i="2"/>
  <c r="A41" i="2"/>
  <c r="L40" i="2"/>
  <c r="K40" i="2"/>
  <c r="J40" i="2"/>
  <c r="I40" i="2"/>
  <c r="H40" i="2"/>
  <c r="G40" i="2"/>
  <c r="F40" i="2"/>
  <c r="E40" i="2"/>
  <c r="D40" i="2"/>
  <c r="C40" i="2"/>
  <c r="B40" i="2"/>
  <c r="A40" i="2"/>
  <c r="L39" i="2"/>
  <c r="K39" i="2"/>
  <c r="J39" i="2"/>
  <c r="I39" i="2"/>
  <c r="H39" i="2"/>
  <c r="G39" i="2"/>
  <c r="F39" i="2"/>
  <c r="E39" i="2"/>
  <c r="D39" i="2"/>
  <c r="C39" i="2"/>
  <c r="B39" i="2"/>
  <c r="A39" i="2"/>
  <c r="L38" i="2"/>
  <c r="K38" i="2"/>
  <c r="J38" i="2"/>
  <c r="I38" i="2"/>
  <c r="H38" i="2"/>
  <c r="G38" i="2"/>
  <c r="F38" i="2"/>
  <c r="E38" i="2"/>
  <c r="D38" i="2"/>
  <c r="C38" i="2"/>
  <c r="B38" i="2"/>
  <c r="A38" i="2"/>
  <c r="L37" i="2"/>
  <c r="K37" i="2"/>
  <c r="J37" i="2"/>
  <c r="I37" i="2"/>
  <c r="H37" i="2"/>
  <c r="G37" i="2"/>
  <c r="F37" i="2"/>
  <c r="E37" i="2"/>
  <c r="D37" i="2"/>
  <c r="C37" i="2"/>
  <c r="B37" i="2"/>
  <c r="A37" i="2"/>
  <c r="L36" i="2"/>
  <c r="K36" i="2"/>
  <c r="J36" i="2"/>
  <c r="I36" i="2"/>
  <c r="H36" i="2"/>
  <c r="G36" i="2"/>
  <c r="F36" i="2"/>
  <c r="E36" i="2"/>
  <c r="D36" i="2"/>
  <c r="C36" i="2"/>
  <c r="B36" i="2"/>
  <c r="A36" i="2"/>
  <c r="L35" i="2"/>
  <c r="K35" i="2"/>
  <c r="J35" i="2"/>
  <c r="I35" i="2"/>
  <c r="H35" i="2"/>
  <c r="G35" i="2"/>
  <c r="F35" i="2"/>
  <c r="E35" i="2"/>
  <c r="D35" i="2"/>
  <c r="C35" i="2"/>
  <c r="B35" i="2"/>
  <c r="A35" i="2"/>
  <c r="L34" i="2"/>
  <c r="K34" i="2"/>
  <c r="J34" i="2"/>
  <c r="I34" i="2"/>
  <c r="H34" i="2"/>
  <c r="G34" i="2"/>
  <c r="F34" i="2"/>
  <c r="E34" i="2"/>
  <c r="D34" i="2"/>
  <c r="C34" i="2"/>
  <c r="B34" i="2"/>
  <c r="A34" i="2"/>
  <c r="L33" i="2"/>
  <c r="K33" i="2"/>
  <c r="J33" i="2"/>
  <c r="I33" i="2"/>
  <c r="H33" i="2"/>
  <c r="G33" i="2"/>
  <c r="F33" i="2"/>
  <c r="E33" i="2"/>
  <c r="D33" i="2"/>
  <c r="C33" i="2"/>
  <c r="B33" i="2"/>
  <c r="A33" i="2"/>
  <c r="L32" i="2"/>
  <c r="K32" i="2"/>
  <c r="J32" i="2"/>
  <c r="I32" i="2"/>
  <c r="H32" i="2"/>
  <c r="G32" i="2"/>
  <c r="F32" i="2"/>
  <c r="E32" i="2"/>
  <c r="D32" i="2"/>
  <c r="C32" i="2"/>
  <c r="B32" i="2"/>
  <c r="A32" i="2"/>
  <c r="L31" i="2"/>
  <c r="K31" i="2"/>
  <c r="J31" i="2"/>
  <c r="I31" i="2"/>
  <c r="H31" i="2"/>
  <c r="G31" i="2"/>
  <c r="F31" i="2"/>
  <c r="E31" i="2"/>
  <c r="D31" i="2"/>
  <c r="C31" i="2"/>
  <c r="B31" i="2"/>
  <c r="A31" i="2"/>
  <c r="L30" i="2"/>
  <c r="K30" i="2"/>
  <c r="J30" i="2"/>
  <c r="I30" i="2"/>
  <c r="H30" i="2"/>
  <c r="G30" i="2"/>
  <c r="F30" i="2"/>
  <c r="E30" i="2"/>
  <c r="D30" i="2"/>
  <c r="C30" i="2"/>
  <c r="B30" i="2"/>
  <c r="A30" i="2"/>
  <c r="L29" i="2"/>
  <c r="K29" i="2"/>
  <c r="J29" i="2"/>
  <c r="I29" i="2"/>
  <c r="H29" i="2"/>
  <c r="G29" i="2"/>
  <c r="F29" i="2"/>
  <c r="E29" i="2"/>
  <c r="D29" i="2"/>
  <c r="C29" i="2"/>
  <c r="B29" i="2"/>
  <c r="A29" i="2"/>
  <c r="L28" i="2"/>
  <c r="K28" i="2"/>
  <c r="J28" i="2"/>
  <c r="I28" i="2"/>
  <c r="H28" i="2"/>
  <c r="G28" i="2"/>
  <c r="F28" i="2"/>
  <c r="E28" i="2"/>
  <c r="D28" i="2"/>
  <c r="C28" i="2"/>
  <c r="B28" i="2"/>
  <c r="A28" i="2"/>
  <c r="L27" i="2"/>
  <c r="K27" i="2"/>
  <c r="J27" i="2"/>
  <c r="I27" i="2"/>
  <c r="H27" i="2"/>
  <c r="G27" i="2"/>
  <c r="F27" i="2"/>
  <c r="E27" i="2"/>
  <c r="D27" i="2"/>
  <c r="C27" i="2"/>
  <c r="B27" i="2"/>
  <c r="A27" i="2"/>
  <c r="L26" i="2"/>
  <c r="K26" i="2"/>
  <c r="J26" i="2"/>
  <c r="I26" i="2"/>
  <c r="H26" i="2"/>
  <c r="G26" i="2"/>
  <c r="F26" i="2"/>
  <c r="E26" i="2"/>
  <c r="D26" i="2"/>
  <c r="C26" i="2"/>
  <c r="B26" i="2"/>
  <c r="A26" i="2"/>
  <c r="L25" i="2"/>
  <c r="K25" i="2"/>
  <c r="J25" i="2"/>
  <c r="I25" i="2"/>
  <c r="H25" i="2"/>
  <c r="G25" i="2"/>
  <c r="F25" i="2"/>
  <c r="E25" i="2"/>
  <c r="D25" i="2"/>
  <c r="C25" i="2"/>
  <c r="B25" i="2"/>
  <c r="A25" i="2"/>
  <c r="L24" i="2"/>
  <c r="K24" i="2"/>
  <c r="J24" i="2"/>
  <c r="I24" i="2"/>
  <c r="H24" i="2"/>
  <c r="G24" i="2"/>
  <c r="F24" i="2"/>
  <c r="E24" i="2"/>
  <c r="D24" i="2"/>
  <c r="C24" i="2"/>
  <c r="B24" i="2"/>
  <c r="A24" i="2"/>
  <c r="L23" i="2"/>
  <c r="K23" i="2"/>
  <c r="J23" i="2"/>
  <c r="I23" i="2"/>
  <c r="H23" i="2"/>
  <c r="G23" i="2"/>
  <c r="F23" i="2"/>
  <c r="E23" i="2"/>
  <c r="D23" i="2"/>
  <c r="C23" i="2"/>
  <c r="B23" i="2"/>
  <c r="A23" i="2"/>
  <c r="L22" i="2"/>
  <c r="K22" i="2"/>
  <c r="J22" i="2"/>
  <c r="I22" i="2"/>
  <c r="H22" i="2"/>
  <c r="G22" i="2"/>
  <c r="F22" i="2"/>
  <c r="E22" i="2"/>
  <c r="D22" i="2"/>
  <c r="C22" i="2"/>
  <c r="B22" i="2"/>
  <c r="A22" i="2"/>
  <c r="L21" i="2"/>
  <c r="K21" i="2"/>
  <c r="J21" i="2"/>
  <c r="I21" i="2"/>
  <c r="H21" i="2"/>
  <c r="G21" i="2"/>
  <c r="F21" i="2"/>
  <c r="E21" i="2"/>
  <c r="D21" i="2"/>
  <c r="C21" i="2"/>
  <c r="B21" i="2"/>
  <c r="A21" i="2"/>
  <c r="L20" i="2"/>
  <c r="K20" i="2"/>
  <c r="J20" i="2"/>
  <c r="I20" i="2"/>
  <c r="H20" i="2"/>
  <c r="G20" i="2"/>
  <c r="F20" i="2"/>
  <c r="E20" i="2"/>
  <c r="D20" i="2"/>
  <c r="C20" i="2"/>
  <c r="B20" i="2"/>
  <c r="A20" i="2"/>
  <c r="L19" i="2"/>
  <c r="K19" i="2"/>
  <c r="J19" i="2"/>
  <c r="I19" i="2"/>
  <c r="H19" i="2"/>
  <c r="G19" i="2"/>
  <c r="F19" i="2"/>
  <c r="E19" i="2"/>
  <c r="D19" i="2"/>
  <c r="C19" i="2"/>
  <c r="B19" i="2"/>
  <c r="A19" i="2"/>
  <c r="L18" i="2"/>
  <c r="K18" i="2"/>
  <c r="J18" i="2"/>
  <c r="I18" i="2"/>
  <c r="H18" i="2"/>
  <c r="G18" i="2"/>
  <c r="F18" i="2"/>
  <c r="E18" i="2"/>
  <c r="D18" i="2"/>
  <c r="C18" i="2"/>
  <c r="B18" i="2"/>
  <c r="A18" i="2"/>
  <c r="L17" i="2"/>
  <c r="K17" i="2"/>
  <c r="J17" i="2"/>
  <c r="I17" i="2"/>
  <c r="H17" i="2"/>
  <c r="G17" i="2"/>
  <c r="F17" i="2"/>
  <c r="D17" i="2"/>
  <c r="C17" i="2"/>
  <c r="B17" i="2"/>
  <c r="A17" i="2"/>
  <c r="L16" i="2"/>
  <c r="K16" i="2"/>
  <c r="J16" i="2"/>
  <c r="I16" i="2"/>
  <c r="H16" i="2"/>
  <c r="G16" i="2"/>
  <c r="F16" i="2"/>
  <c r="D16" i="2"/>
  <c r="C16" i="2"/>
  <c r="B16" i="2"/>
  <c r="A16" i="2"/>
  <c r="L15" i="2"/>
  <c r="K15" i="2"/>
  <c r="J15" i="2"/>
  <c r="I15" i="2"/>
  <c r="H15" i="2"/>
  <c r="G15" i="2"/>
  <c r="F15" i="2"/>
  <c r="D15" i="2"/>
  <c r="C15" i="2"/>
  <c r="B15" i="2"/>
  <c r="A15" i="2"/>
  <c r="L14" i="2"/>
  <c r="K14" i="2"/>
  <c r="J14" i="2"/>
  <c r="I14" i="2"/>
  <c r="H14" i="2"/>
  <c r="G14" i="2"/>
  <c r="F14" i="2"/>
  <c r="D14" i="2"/>
  <c r="C14" i="2"/>
  <c r="B14" i="2"/>
  <c r="A14" i="2"/>
  <c r="L13" i="2"/>
  <c r="K13" i="2"/>
  <c r="J13" i="2"/>
  <c r="I13" i="2"/>
  <c r="H13" i="2"/>
  <c r="G13" i="2"/>
  <c r="F13" i="2"/>
  <c r="D13" i="2"/>
  <c r="C13" i="2"/>
  <c r="B13" i="2"/>
  <c r="A13" i="2"/>
  <c r="L12" i="2"/>
  <c r="K12" i="2"/>
  <c r="J12" i="2"/>
  <c r="I12" i="2"/>
  <c r="H12" i="2"/>
  <c r="G12" i="2"/>
  <c r="F12" i="2"/>
  <c r="D12" i="2"/>
  <c r="C12" i="2"/>
  <c r="B12" i="2"/>
  <c r="A12" i="2"/>
  <c r="L11" i="2"/>
  <c r="K11" i="2"/>
  <c r="J11" i="2"/>
  <c r="I11" i="2"/>
  <c r="H11" i="2"/>
  <c r="G11" i="2"/>
  <c r="F11" i="2"/>
  <c r="D11" i="2"/>
  <c r="C11" i="2"/>
  <c r="B11" i="2"/>
  <c r="A11" i="2"/>
  <c r="I5" i="2"/>
  <c r="G5" i="2"/>
  <c r="E5" i="2"/>
  <c r="C5" i="2"/>
  <c r="B3" i="2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A5" i="2" l="1"/>
  <c r="E11" i="2"/>
  <c r="K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<sst xmlns="http://schemas.openxmlformats.org/spreadsheetml/2006/main" count="1973" uniqueCount="198">
  <si>
    <t>Send Date</t>
  </si>
  <si>
    <t>Send Time</t>
  </si>
  <si>
    <t>Campaign Name</t>
  </si>
  <si>
    <t>Campaign Type</t>
  </si>
  <si>
    <t>Current Stage</t>
  </si>
  <si>
    <t>Owner</t>
  </si>
  <si>
    <t>Jira Link</t>
  </si>
  <si>
    <t>ClickUp Link</t>
  </si>
  <si>
    <t>Bluecore Link</t>
  </si>
  <si>
    <t>Est. Audience</t>
  </si>
  <si>
    <t>Delivered</t>
  </si>
  <si>
    <t>Risk Level</t>
  </si>
  <si>
    <t>Last Updated</t>
  </si>
  <si>
    <t>08:00 AM</t>
  </si>
  <si>
    <t>Sample | Eco Gear Promo</t>
  </si>
  <si>
    <t>Promo</t>
  </si>
  <si>
    <t>Email Manager</t>
  </si>
  <si>
    <t>Received</t>
  </si>
  <si>
    <t>Approved</t>
  </si>
  <si>
    <t>Ready</t>
  </si>
  <si>
    <t>Sent</t>
  </si>
  <si>
    <t>Passed</t>
  </si>
  <si>
    <t>Scheduled</t>
  </si>
  <si>
    <t>https://jira.example.com/EMAIL-001</t>
  </si>
  <si>
    <t>https://clickup.example.com/task/001</t>
  </si>
  <si>
    <t>https://bluecore.example.com/campaign/001</t>
  </si>
  <si>
    <t>10:00 AM</t>
  </si>
  <si>
    <t>Sample | Weekly Newsletter</t>
  </si>
  <si>
    <t>Newsletter</t>
  </si>
  <si>
    <t>Associate</t>
  </si>
  <si>
    <t>N/A</t>
  </si>
  <si>
    <t>Created</t>
  </si>
  <si>
    <t>In Progress</t>
  </si>
  <si>
    <t>Not Started</t>
  </si>
  <si>
    <t>https://jira.example.com/EMAIL-002</t>
  </si>
  <si>
    <t>https://clickup.example.com/task/002</t>
  </si>
  <si>
    <t>https://bluecore.example.com/campaign/002</t>
  </si>
  <si>
    <t>02:00 PM</t>
  </si>
  <si>
    <t>Sample | Brand Spotlight</t>
  </si>
  <si>
    <t>Brand</t>
  </si>
  <si>
    <t>Requested</t>
  </si>
  <si>
    <t>Draft</t>
  </si>
  <si>
    <t>https://jira.example.com/EMAIL-003</t>
  </si>
  <si>
    <t>09:00 AM</t>
  </si>
  <si>
    <t>Sample | VIP Offer</t>
  </si>
  <si>
    <t>VIP</t>
  </si>
  <si>
    <t>Manager</t>
  </si>
  <si>
    <t>https://jira.example.com/EMAIL-004</t>
  </si>
  <si>
    <t>11:00 AM</t>
  </si>
  <si>
    <t>Sample | Sent Campaign</t>
  </si>
  <si>
    <t>https://jira.example.com/EMAIL-005</t>
  </si>
  <si>
    <t>https://clickup.example.com/task/005</t>
  </si>
  <si>
    <t>https://bluecore.example.com/campaign/005</t>
  </si>
  <si>
    <t>Email Production Command Center</t>
  </si>
  <si>
    <t>Last Refresh</t>
  </si>
  <si>
    <t>Active Work</t>
  </si>
  <si>
    <t>Sending Today</t>
  </si>
  <si>
    <t>Blocked</t>
  </si>
  <si>
    <t>At Risk</t>
  </si>
  <si>
    <t>Scheduled for today</t>
  </si>
  <si>
    <t>All Work in Production</t>
  </si>
  <si>
    <t>Time</t>
  </si>
  <si>
    <t>Campaign</t>
  </si>
  <si>
    <t>Type</t>
  </si>
  <si>
    <t>Stage</t>
  </si>
  <si>
    <t>Jira</t>
  </si>
  <si>
    <t>ClickUp</t>
  </si>
  <si>
    <t>Bluecore</t>
  </si>
  <si>
    <t>Daily Action Lanes</t>
  </si>
  <si>
    <t>Lane</t>
  </si>
  <si>
    <t>Formula / Use</t>
  </si>
  <si>
    <t>Owner Action</t>
  </si>
  <si>
    <t>Count</t>
  </si>
  <si>
    <t>Send Date = today</t>
  </si>
  <si>
    <t>Confirm scheduled/send status</t>
  </si>
  <si>
    <t>Status Values</t>
  </si>
  <si>
    <t>Owner List</t>
  </si>
  <si>
    <t>On Track</t>
  </si>
  <si>
    <t>Waiting for SKUs</t>
  </si>
  <si>
    <t>Brief in Progress</t>
  </si>
  <si>
    <t>Needed</t>
  </si>
  <si>
    <t>High Risk</t>
  </si>
  <si>
    <t>Brief Ready</t>
  </si>
  <si>
    <t>Critical</t>
  </si>
  <si>
    <t>Designer</t>
  </si>
  <si>
    <t>Resend</t>
  </si>
  <si>
    <t>With Design</t>
  </si>
  <si>
    <t>Builder</t>
  </si>
  <si>
    <t>NPA</t>
  </si>
  <si>
    <t>Design Ready</t>
  </si>
  <si>
    <t>Client</t>
  </si>
  <si>
    <t>Holiday</t>
  </si>
  <si>
    <t>Sent to Builder</t>
  </si>
  <si>
    <t>Complete</t>
  </si>
  <si>
    <t>TBD</t>
  </si>
  <si>
    <t>Lifecycle</t>
  </si>
  <si>
    <t>Built in Bluecore</t>
  </si>
  <si>
    <t>Trigger</t>
  </si>
  <si>
    <t>Segment Ready</t>
  </si>
  <si>
    <t>Other</t>
  </si>
  <si>
    <t>QA in Progress</t>
  </si>
  <si>
    <t>QA Passed</t>
  </si>
  <si>
    <t>Failed</t>
  </si>
  <si>
    <t>Cancelled</t>
  </si>
  <si>
    <t>Timestamp</t>
  </si>
  <si>
    <t>User</t>
  </si>
  <si>
    <t>Action</t>
  </si>
  <si>
    <t>Details</t>
  </si>
  <si>
    <t>https://jira.adorama.com/browse/MKT-103183</t>
  </si>
  <si>
    <t>060926-08AM-Dive Wear Best Sellers Resend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</si>
  <si>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</si>
  <si>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</si>
  <si>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</si>
  <si>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</si>
  <si>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</si>
  <si>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</si>
  <si>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Approval</t>
  </si>
  <si>
    <t>Segments</t>
  </si>
  <si>
    <t>☐</t>
  </si>
  <si>
    <t>Daily production view using the new checklist workflow.</t>
  </si>
  <si>
    <t>Source Pending</t>
  </si>
  <si>
    <t>Brief Pending</t>
  </si>
  <si>
    <t>Approval Pending</t>
  </si>
  <si>
    <t>Not sent or cancelled</t>
  </si>
  <si>
    <t>Source code incomplete</t>
  </si>
  <si>
    <t>Creative brief incomplete</t>
  </si>
  <si>
    <t>Approval incomplete</t>
  </si>
  <si>
    <t>Delivered or sent</t>
  </si>
  <si>
    <t>Rows mirror Production Inventory; checklist cells show completion.</t>
  </si>
  <si>
    <t>Today's Sends</t>
  </si>
  <si>
    <t>Source Code Pending</t>
  </si>
  <si>
    <t>Source-code checkbox is open</t>
  </si>
  <si>
    <t>Finish campaign name and UTM parameters</t>
  </si>
  <si>
    <t>Creative Brief Pending</t>
  </si>
  <si>
    <t>Creative checkbox is open</t>
  </si>
  <si>
    <t>Complete brief, subject line, and preheader</t>
  </si>
  <si>
    <t>Build / QA Pending</t>
  </si>
  <si>
    <t>Build/QA checkbox is open</t>
  </si>
  <si>
    <t>Complete build and QA</t>
  </si>
  <si>
    <t>Approval checkbox is open</t>
  </si>
  <si>
    <t>Obtain final approval</t>
  </si>
  <si>
    <t>Kim Chim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</si>
  <si>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</si>
  <si>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</si>
  <si>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</si>
  <si>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</si>
  <si>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☑</t>
  </si>
  <si>
    <t>Production Inventory migrated. Backup: A:\Users\Archim Pameroyan\Documents\GitHub\System-Production-Adorama\Email_Production_Inventory_Tracker_UI_PRE_MIGRATION_20260606_070756.xlsm</t>
  </si>
  <si>
    <t>Campaigns update automatically from Production Inventory send dates.</t>
  </si>
  <si>
    <t>Dashboard</t>
  </si>
  <si>
    <t>Production Inventory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</si>
  <si>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</si>
  <si>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</si>
  <si>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</si>
  <si>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</si>
  <si>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</si>
  <si>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</si>
  <si>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</si>
  <si>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</si>
  <si>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</si>
  <si>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</si>
  <si>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Update Send Date or Campaign Name in Production Inventory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</si>
  <si>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</si>
  <si>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</si>
  <si>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</si>
  <si>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</si>
  <si>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</si>
  <si>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</si>
  <si>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</si>
  <si>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</si>
  <si>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</si>
  <si>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</si>
  <si>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</si>
  <si>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</si>
  <si>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</si>
  <si>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</si>
  <si>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</si>
  <si>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</si>
  <si>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</si>
  <si>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</si>
  <si>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</si>
  <si>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</si>
  <si>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</si>
  <si>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</si>
  <si>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</si>
  <si>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</si>
  <si>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</si>
  <si>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</si>
  <si>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</si>
  <si>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</si>
  <si>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</si>
  <si>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</si>
  <si>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</si>
  <si>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</si>
  <si>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</si>
  <si>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</si>
  <si>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Calendar/UI QA Upgrade</t>
  </si>
  <si>
    <t>Created 12 dynamic monthly calendars; removed README and VBA Code; enhanced navigation and workbook 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</si>
</sst>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mm/dd/yyyy"/>
    <numFmt numFmtId="166" formatCode="mm/dd/yyyy\ hh:mm"/>
  </numFmts>
  <fonts count="20">
    <font>
      <sz val="11"/>
      <name val="Carlito"/>
    </font>
    <font>
      <b/>
      <sz val="11"/>
      <color rgb="FFFFFFFF"/>
      <name val="Carlito"/>
    </font>
    <font>
      <b/>
      <sz val="18"/>
      <color rgb="FFFFFFFF"/>
      <name val="Carlito"/>
    </font>
    <font>
      <b/>
      <sz val="10"/>
      <color rgb="FFFFFFFF"/>
      <name val="Carlito"/>
    </font>
    <font>
      <b/>
      <sz val="11"/>
      <color rgb="FF17365D"/>
      <name val="Carlito"/>
    </font>
    <font>
      <b/>
      <sz val="18"/>
      <color rgb="FF17365D"/>
      <name val="Carlito"/>
    </font>
    <font>
      <b/>
      <sz val="9"/>
      <color rgb="FF17365D"/>
      <name val="Carlito"/>
    </font>
    <font>
      <b/>
      <sz val="13"/>
      <color rgb="FFFFFFFF"/>
      <name val="Carlito"/>
    </font>
    <font>
      <i/>
      <sz val="11"/>
      <color rgb="FF17365D"/>
      <name val="Carlito"/>
    </font>
    <font>
      <sz val="11"/>
      <color rgb="FF0563C1"/>
      <name val="Carlito"/>
    </font>
    <font>
      <u/>
      <sz val="11"/>
      <color theme="10"/>
      <name val="Carlito"/>
    </font>
    <font>
      <sz val="11"/>
      <name val="Segoe UI Symbol"/>
      <family val="2"/>
    </font>
    <font>
      <sz val="12"/>
      <name val="Segoe UI Symbol"/>
      <family val="2"/>
    </font>
    <font>
      <sz val="11"/>
      <color rgb="FF595959"/>
      <name val="Carlito"/>
    </font>
    <font>
      <i/>
      <sz val="11"/>
      <color rgb="FF595959"/>
      <name val="Carlito"/>
    </font>
    <font>
      <b/>
      <u/>
      <sz val="11"/>
      <color theme="10"/>
      <name val="Carlito"/>
    </font>
    <font>
      <b/>
      <sz val="11"/>
      <name val="Carlito"/>
    </font>
    <font>
      <sz val="10"/>
      <name val="Carlito"/>
    </font>
    <font>
      <i/>
      <sz val="11"/>
      <color rgb="FFFFFFFF"/>
      <name val="Carlito"/>
    </font>
    <font>
      <b/>
      <u/>
      <sz val="11"/>
      <color rgb="FFFFFFFF"/>
      <name val="Carlito"/>
    </font>
  </fonts>
  <fills count="1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F8FBFD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vertical="top" wrapText="1"/>
    </xf>
    <xf numFmtId="18" fontId="0" fillId="0" borderId="0" xfId="0" applyNumberFormat="1" applyAlignment="1">
      <alignment vertical="top" wrapText="1"/>
    </xf>
    <xf numFmtId="3" fontId="0" fillId="0" borderId="0" xfId="0" applyNumberFormat="1" applyAlignment="1">
      <alignment vertical="top" wrapText="1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left" vertical="center"/>
    </xf>
    <xf numFmtId="0" fontId="1" fillId="3" borderId="2" xfId="0" applyFont="1" applyFill="1" applyBorder="1" applyAlignment="1">
      <alignment horizontal="center" vertical="center" wrapText="1"/>
    </xf>
    <xf numFmtId="1" fontId="1" fillId="3" borderId="2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18" fontId="0" fillId="0" borderId="2" xfId="0" applyNumberFormat="1" applyBorder="1" applyAlignment="1">
      <alignment vertical="top" wrapText="1"/>
    </xf>
    <xf numFmtId="18" fontId="0" fillId="0" borderId="3" xfId="0" applyNumberFormat="1" applyBorder="1" applyAlignment="1">
      <alignment vertical="top" wrapText="1"/>
    </xf>
    <xf numFmtId="18" fontId="0" fillId="0" borderId="1" xfId="0" applyNumberFormat="1" applyBorder="1" applyAlignment="1">
      <alignment vertical="top" wrapText="1"/>
    </xf>
    <xf numFmtId="0" fontId="9" fillId="0" borderId="3" xfId="0" applyFont="1" applyBorder="1" applyAlignment="1">
      <alignment vertical="top" wrapText="1"/>
    </xf>
    <xf numFmtId="0" fontId="9" fillId="0" borderId="0" xfId="0" applyFont="1" applyAlignment="1">
      <alignment vertical="top" wrapText="1"/>
    </xf>
    <xf numFmtId="0" fontId="9" fillId="0" borderId="1" xfId="0" applyFont="1" applyBorder="1" applyAlignment="1">
      <alignment vertical="top" wrapText="1"/>
    </xf>
    <xf numFmtId="0" fontId="0" fillId="12" borderId="0" xfId="0" applyFill="1" applyAlignment="1">
      <alignment wrapText="1"/>
    </xf>
    <xf numFmtId="1" fontId="0" fillId="12" borderId="0" xfId="0" applyNumberFormat="1" applyFill="1" applyAlignment="1">
      <alignment wrapText="1"/>
    </xf>
    <xf numFmtId="0" fontId="10" fillId="0" borderId="0" xfId="1" applyAlignment="1">
      <alignment vertical="top" wrapText="1"/>
    </xf>
    <xf numFmtId="49" fontId="12" fillId="0" borderId="0" xfId="0" applyNumberFormat="1" applyFont="1" applyAlignment="1">
      <alignment horizontal="center" vertical="center" wrapText="1"/>
    </xf>
    <xf numFmtId="165" fontId="0" fillId="0" borderId="0" xfId="0" applyNumberFormat="1" applyAlignment="1">
      <alignment vertical="top" wrapText="1"/>
    </xf>
    <xf numFmtId="165" fontId="0" fillId="0" borderId="2" xfId="0" applyNumberFormat="1" applyBorder="1" applyAlignment="1">
      <alignment vertical="top" wrapText="1"/>
    </xf>
    <xf numFmtId="165" fontId="0" fillId="0" borderId="3" xfId="0" applyNumberFormat="1" applyBorder="1" applyAlignment="1">
      <alignment vertical="top" wrapText="1"/>
    </xf>
    <xf numFmtId="165" fontId="0" fillId="0" borderId="1" xfId="0" applyNumberFormat="1" applyBorder="1" applyAlignment="1">
      <alignment vertical="top" wrapText="1"/>
    </xf>
    <xf numFmtId="0" fontId="11" fillId="0" borderId="3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top" wrapText="1"/>
    </xf>
    <xf numFmtId="0" fontId="11" fillId="0" borderId="1" xfId="0" applyFont="1" applyBorder="1" applyAlignment="1">
      <alignment horizontal="center" vertical="top" wrapText="1"/>
    </xf>
    <xf numFmtId="22" fontId="0" fillId="0" borderId="0" xfId="0" applyNumberFormat="1"/>
    <xf numFmtId="166" fontId="0" fillId="0" borderId="0" xfId="0" applyNumberFormat="1" applyAlignment="1">
      <alignment horizontal="left" vertical="top" wrapText="1"/>
    </xf>
    <xf numFmtId="0" fontId="15" fillId="14" borderId="0" xfId="1" applyFont="1" applyFill="1" applyAlignment="1">
      <alignment horizontal="center" vertical="center"/>
    </xf>
    <xf numFmtId="0" fontId="17" fillId="18" borderId="5" xfId="0" applyFont="1" applyFill="1" applyBorder="1" applyAlignment="1">
      <alignment horizontal="left" vertical="top" wrapText="1"/>
    </xf>
    <xf numFmtId="0" fontId="17" fillId="17" borderId="5" xfId="0" applyFont="1" applyFill="1" applyBorder="1" applyAlignment="1">
      <alignment horizontal="left" vertical="top" wrapText="1"/>
    </xf>
    <xf numFmtId="0" fontId="1" fillId="16" borderId="5" xfId="0" applyFont="1" applyFill="1" applyBorder="1" applyAlignment="1">
      <alignment horizontal="center"/>
    </xf>
    <xf numFmtId="0" fontId="19" fillId="13" borderId="4" xfId="1" applyFont="1" applyFill="1" applyBorder="1" applyAlignment="1">
      <alignment horizontal="center"/>
    </xf>
    <xf numFmtId="0" fontId="0" fillId="0" borderId="0" xfId="0" applyAlignment="1">
      <alignment vertical="center" wrapText="1"/>
    </xf>
    <xf numFmtId="166" fontId="0" fillId="0" borderId="0" xfId="0" applyNumberFormat="1"/>
    <xf numFmtId="0" fontId="8" fillId="11" borderId="2" xfId="0" applyFont="1" applyFill="1" applyBorder="1" applyAlignment="1">
      <alignment horizontal="left" vertical="center"/>
    </xf>
    <xf numFmtId="1" fontId="8" fillId="11" borderId="2" xfId="0" applyNumberFormat="1" applyFont="1" applyFill="1" applyBorder="1" applyAlignment="1">
      <alignment horizontal="left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center" wrapText="1"/>
    </xf>
    <xf numFmtId="0" fontId="1" fillId="10" borderId="0" xfId="0" applyFont="1" applyFill="1" applyAlignment="1">
      <alignment horizontal="left"/>
    </xf>
    <xf numFmtId="0" fontId="6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1" fontId="5" fillId="9" borderId="0" xfId="0" applyNumberFormat="1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10" borderId="2" xfId="0" applyFont="1" applyFill="1" applyBorder="1" applyAlignment="1">
      <alignment horizontal="left" vertical="center"/>
    </xf>
    <xf numFmtId="1" fontId="7" fillId="10" borderId="2" xfId="0" applyNumberFormat="1" applyFont="1" applyFill="1" applyBorder="1" applyAlignment="1">
      <alignment horizontal="left" vertical="center"/>
    </xf>
    <xf numFmtId="0" fontId="7" fillId="10" borderId="0" xfId="0" applyFont="1" applyFill="1" applyAlignment="1">
      <alignment horizontal="left" vertical="center"/>
    </xf>
    <xf numFmtId="0" fontId="7" fillId="10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1" fontId="5" fillId="5" borderId="2" xfId="0" applyNumberFormat="1" applyFont="1" applyFill="1" applyBorder="1" applyAlignment="1">
      <alignment horizontal="center" vertical="center"/>
    </xf>
    <xf numFmtId="1" fontId="4" fillId="5" borderId="2" xfId="0" applyNumberFormat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 wrapText="1"/>
    </xf>
    <xf numFmtId="1" fontId="5" fillId="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1" fontId="5" fillId="7" borderId="0" xfId="0" applyNumberFormat="1" applyFont="1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1" fontId="5" fillId="8" borderId="0" xfId="0" applyNumberFormat="1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3" fillId="15" borderId="0" xfId="0" applyFont="1" applyFill="1" applyAlignment="1">
      <alignment horizontal="center" wrapText="1"/>
    </xf>
    <xf numFmtId="0" fontId="18" fillId="13" borderId="0" xfId="0" applyFont="1" applyFill="1" applyAlignment="1">
      <alignment horizontal="center"/>
    </xf>
    <xf numFmtId="166" fontId="4" fillId="4" borderId="0" xfId="0" applyNumberFormat="1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73"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numFmt numFmtId="166" formatCode="mm/dd/yyyy\ hh:mm"/>
      <alignment horizontal="left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Segoe UI Symbo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numFmt numFmtId="165" formatCode="mm/dd/yyyy"/>
    </dxf>
    <dxf>
      <alignment vertical="center" textRotation="0" wrapText="1" indent="0" justifyLastLine="0" shrinkToFit="0" readingOrder="0"/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595959"/>
      </font>
      <fill>
        <patternFill>
          <bgColor rgb="FFF2F2F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Segoe UI Symbol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Segoe UI Symbol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Segoe UI Symbol"/>
        <family val="2"/>
        <scheme val="none"/>
      </font>
      <alignment horizontal="center" vertical="top" textRotation="0" wrapText="1" indent="0" justifyLastLine="0" shrinkToFit="0" readingOrder="0"/>
    </dxf>
    <dxf>
      <numFmt numFmtId="165" formatCode="mm/dd/yyyy"/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10">
  <tableColumns count="12">
    <tableColumn id="1" xr3:uid="{00000000-0010-0000-0100-000001000000}" name="Send Date" dataDxfId="60"/>
    <tableColumn id="2" xr3:uid="{00000000-0010-0000-0100-000002000000}" name="Time"/>
    <tableColumn id="3" xr3:uid="{00000000-0010-0000-0100-000003000000}" name="Campaign"/>
    <tableColumn id="4" xr3:uid="{00000000-0010-0000-0100-000004000000}" name="Type"/>
    <tableColumn id="5" xr3:uid="{00000000-0010-0000-0100-000005000000}" name="Stage"/>
    <tableColumn id="6" xr3:uid="{00000000-0010-0000-0100-000006000000}" name="Owner"/>
    <tableColumn id="7" xr3:uid="{00000000-0010-0000-0100-000007000000}" name="SKUs" dataDxfId="59"/>
    <tableColumn id="8" xr3:uid="{00000000-0010-0000-0100-000008000000}" name="Build, QA" dataDxfId="58"/>
    <tableColumn id="9" xr3:uid="{00000000-0010-0000-0100-000009000000}" name="Approval" dataDxfId="57"/>
    <tableColumn id="10" xr3:uid="{00000000-0010-0000-0100-00000A000000}" name="Jira"/>
    <tableColumn id="11" xr3:uid="{00000000-0010-0000-0100-00000B000000}" name="ClickUp"/>
    <tableColumn id="12" xr3:uid="{00000000-0010-0000-0100-00000C000000}" name="Blueco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ductionInventoryTable" displayName="ProductionInventoryTable" ref="A1:T201" headerRowDxfId="34">
  <tableColumns count="20">
    <tableColumn id="2" xr3:uid="{00000000-0010-0000-0000-000002000000}" name="Send Date" dataDxfId="33"/>
    <tableColumn id="3" xr3:uid="{00000000-0010-0000-0000-000003000000}" name="Send Time"/>
    <tableColumn id="4" xr3:uid="{00000000-0010-0000-0000-000004000000}" name="Campaign Name"/>
    <tableColumn id="5" xr3:uid="{00000000-0010-0000-0000-000005000000}" name="Campaign Type"/>
    <tableColumn id="6" xr3:uid="{00000000-0010-0000-0000-000006000000}" name="Current Stage">
      <calculatedColumnFormula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calculatedColumnFormula>
    </tableColumn>
    <tableColumn id="7" xr3:uid="{00000000-0010-0000-0000-000007000000}" name="Owner"/>
    <tableColumn id="1" xr3:uid="{B2077B23-1D1A-459D-9583-F63147D6D936}" name="Campaign Name and UTM Parameter (Source Code)" dataDxfId="32"/>
    <tableColumn id="8" xr3:uid="{63A16BD6-6B10-4AD5-B57D-B92EA2935F36}" name="Creative Brief, SL &amp; PH" dataDxfId="31"/>
    <tableColumn id="9" xr3:uid="{23EAD37F-5B0E-461E-85FF-0AAFD24BAA68}" name="SKUs" dataDxfId="30"/>
    <tableColumn id="10" xr3:uid="{9640EB9F-78BB-44D9-B70D-05FDE06036E4}" name="In-Design" dataDxfId="29"/>
    <tableColumn id="11" xr3:uid="{ADDF4395-0E99-41A9-BED7-3DBCF6006F91}" name="Build, QA" dataDxfId="28"/>
    <tableColumn id="12" xr3:uid="{6DF2B722-97C3-4902-87DE-A2A9727C8024}" name="Route" dataDxfId="27"/>
    <tableColumn id="14" xr3:uid="{2C5B824E-A4DE-4EA9-87E9-7663BB92F9D4}" name="Approval" dataDxfId="26"/>
    <tableColumn id="15" xr3:uid="{4CE14FFB-3FFB-4445-B89C-5D3C3D24D6C0}" name="Segments" dataDxfId="25"/>
    <tableColumn id="17" xr3:uid="{00000000-0010-0000-0000-000011000000}" name="Jira Link"/>
    <tableColumn id="18" xr3:uid="{00000000-0010-0000-0000-000012000000}" name="ClickUp Link"/>
    <tableColumn id="19" xr3:uid="{00000000-0010-0000-0000-000013000000}" name="Bluecore Link"/>
    <tableColumn id="20" xr3:uid="{00000000-0010-0000-0000-000014000000}" name="Est. Audience"/>
    <tableColumn id="21" xr3:uid="{00000000-0010-0000-0000-000015000000}" name="Delivered"/>
    <tableColumn id="23" xr3:uid="{00000000-0010-0000-0000-000017000000}" name="Last Updated" dataDxfId="24">
      <calculatedColumnFormula>IF(ProductionInventoryTable[[#This Row],[Campaign Name]]="","",NOW())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06">
  <tableColumns count="4">
    <tableColumn id="1" xr3:uid="{00000000-0010-0000-0300-000001000000}" name="Timestamp"/>
    <tableColumn id="2" xr3:uid="{00000000-0010-0000-0300-000002000000}" name="User"/>
    <tableColumn id="3" xr3:uid="{00000000-0010-0000-0300-000003000000}" name="Action"/>
    <tableColumn id="4" xr3:uid="{00000000-0010-0000-0300-000004000000}" name="Detail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jira.adorama.com/browse/MKT-103183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L119"/>
  <sheetViews>
    <sheetView showGridLines="0" tabSelected="1" zoomScale="90" zoomScaleNormal="90" workbookViewId="0">
      <pane ySplit="10" topLeftCell="A11" activePane="bottomLeft" state="frozen"/>
      <selection pane="bottomLeft" sqref="A1:L1"/>
    </sheetView>
  </sheetViews>
  <sheetFormatPr defaultRowHeight="14.25"/>
  <cols>
    <col min="1" max="1" width="12" customWidth="1"/>
    <col min="2" max="2" width="20.625" customWidth="1"/>
    <col min="3" max="3" width="32" customWidth="1"/>
    <col min="4" max="4" width="12" customWidth="1"/>
    <col min="5" max="5" width="18" customWidth="1"/>
    <col min="6" max="6" width="15" customWidth="1"/>
    <col min="7" max="7" width="13" customWidth="1"/>
    <col min="8" max="8" width="28" customWidth="1"/>
    <col min="9" max="9" width="32" customWidth="1"/>
    <col min="10" max="10" width="11" customWidth="1"/>
    <col min="11" max="11" width="12" customWidth="1"/>
    <col min="12" max="12" width="13" customWidth="1"/>
  </cols>
  <sheetData>
    <row r="1" spans="1:12" ht="27.95" customHeight="1">
      <c r="A1" s="53" t="s">
        <v>53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 ht="21.95" customHeight="1">
      <c r="A2" s="55" t="s">
        <v>119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</row>
    <row r="3" spans="1:12" ht="15">
      <c r="A3" s="8" t="s">
        <v>54</v>
      </c>
      <c r="B3" s="78">
        <f ca="1">NOW()</f>
        <v>46179.311535069442</v>
      </c>
      <c r="D3" s="1"/>
    </row>
    <row r="4" spans="1:12" ht="20.100000000000001" customHeight="1">
      <c r="A4" s="56" t="s">
        <v>55</v>
      </c>
      <c r="B4" s="57"/>
      <c r="C4" s="61" t="s">
        <v>56</v>
      </c>
      <c r="D4" s="62"/>
      <c r="E4" s="65" t="s">
        <v>120</v>
      </c>
      <c r="F4" s="66"/>
      <c r="G4" s="69" t="s">
        <v>121</v>
      </c>
      <c r="H4" s="69"/>
      <c r="I4" s="45" t="s">
        <v>122</v>
      </c>
      <c r="J4" s="45"/>
      <c r="K4" s="46" t="s">
        <v>20</v>
      </c>
      <c r="L4" s="46"/>
    </row>
    <row r="5" spans="1:12" ht="30" customHeight="1">
      <c r="A5" s="58">
        <f>COUNTIFS('Production Inventory'!C:C,"&lt;&gt;",'Production Inventory'!E:E,"&lt;&gt;Sent",'Production Inventory'!E:E,"&lt;&gt;Cancelled")</f>
        <v>7</v>
      </c>
      <c r="B5" s="59"/>
      <c r="C5" s="63">
        <f ca="1">COUNTIFS('Production Inventory'!A:A,TODAY(),'Production Inventory'!C:C,"&lt;&gt;")</f>
        <v>1</v>
      </c>
      <c r="D5" s="62"/>
      <c r="E5" s="67">
        <f>COUNTIFS('Production Inventory'!C:C,"&lt;&gt;",'Production Inventory'!G:G,"&lt;&gt;☑")</f>
        <v>7</v>
      </c>
      <c r="F5" s="66"/>
      <c r="G5" s="70">
        <f>COUNTIFS('Production Inventory'!C:C,"&lt;&gt;",'Production Inventory'!H:H,"&lt;&gt;☑")</f>
        <v>7</v>
      </c>
      <c r="H5" s="69"/>
      <c r="I5" s="72">
        <f>COUNTIFS('Production Inventory'!C:C,"&lt;&gt;",'Production Inventory'!M:M,"&lt;&gt;☑")</f>
        <v>7</v>
      </c>
      <c r="J5" s="45"/>
      <c r="K5" s="47">
        <f>COUNTIFS('Production Inventory'!E:E,"Sent")</f>
        <v>1</v>
      </c>
      <c r="L5" s="46"/>
    </row>
    <row r="6" spans="1:12" ht="18" customHeight="1">
      <c r="A6" s="60" t="s">
        <v>123</v>
      </c>
      <c r="B6" s="59"/>
      <c r="C6" s="64" t="s">
        <v>59</v>
      </c>
      <c r="D6" s="62"/>
      <c r="E6" s="68" t="s">
        <v>124</v>
      </c>
      <c r="F6" s="66"/>
      <c r="G6" s="71" t="s">
        <v>125</v>
      </c>
      <c r="H6" s="69"/>
      <c r="I6" s="44" t="s">
        <v>126</v>
      </c>
      <c r="J6" s="45"/>
      <c r="K6" s="48" t="s">
        <v>127</v>
      </c>
      <c r="L6" s="46"/>
    </row>
    <row r="7" spans="1:12" ht="24" customHeight="1">
      <c r="A7" s="36" t="s">
        <v>184</v>
      </c>
      <c r="B7" s="36" t="s">
        <v>185</v>
      </c>
      <c r="C7" s="36" t="s">
        <v>186</v>
      </c>
      <c r="D7" s="36" t="s">
        <v>187</v>
      </c>
      <c r="E7" s="36" t="s">
        <v>188</v>
      </c>
      <c r="F7" s="36" t="s">
        <v>189</v>
      </c>
      <c r="G7" s="36" t="s">
        <v>190</v>
      </c>
      <c r="H7" s="36" t="s">
        <v>191</v>
      </c>
      <c r="I7" s="36" t="s">
        <v>192</v>
      </c>
      <c r="J7" s="36" t="s">
        <v>193</v>
      </c>
      <c r="K7" s="36" t="s">
        <v>194</v>
      </c>
      <c r="L7" s="36" t="s">
        <v>195</v>
      </c>
    </row>
    <row r="8" spans="1:12" ht="24" customHeight="1">
      <c r="A8" s="49" t="s">
        <v>60</v>
      </c>
      <c r="B8" s="50"/>
      <c r="C8" s="51"/>
      <c r="D8" s="52"/>
      <c r="E8" s="52"/>
      <c r="F8" s="51"/>
      <c r="G8" s="51"/>
      <c r="H8" s="51"/>
      <c r="I8" s="51"/>
      <c r="J8" s="51"/>
      <c r="K8" s="51"/>
      <c r="L8" s="51"/>
    </row>
    <row r="9" spans="1:12">
      <c r="A9" s="39" t="s">
        <v>128</v>
      </c>
      <c r="B9" s="40"/>
      <c r="C9" s="41"/>
      <c r="D9" s="42"/>
      <c r="E9" s="42"/>
      <c r="F9" s="41"/>
      <c r="G9" s="41"/>
      <c r="H9" s="41"/>
      <c r="I9" s="41"/>
      <c r="J9" s="41"/>
      <c r="K9" s="41"/>
      <c r="L9" s="41"/>
    </row>
    <row r="10" spans="1:12" ht="24" customHeight="1">
      <c r="A10" s="9" t="s">
        <v>0</v>
      </c>
      <c r="B10" s="10" t="s">
        <v>61</v>
      </c>
      <c r="C10" s="9" t="s">
        <v>62</v>
      </c>
      <c r="D10" s="9" t="s">
        <v>63</v>
      </c>
      <c r="E10" s="9" t="s">
        <v>64</v>
      </c>
      <c r="F10" s="9" t="s">
        <v>5</v>
      </c>
      <c r="G10" s="9" t="s">
        <v>112</v>
      </c>
      <c r="H10" s="9" t="s">
        <v>114</v>
      </c>
      <c r="I10" s="9" t="s">
        <v>116</v>
      </c>
      <c r="J10" s="9" t="s">
        <v>65</v>
      </c>
      <c r="K10" s="9" t="s">
        <v>66</v>
      </c>
      <c r="L10" s="9" t="s">
        <v>67</v>
      </c>
    </row>
    <row r="11" spans="1:12" ht="24" customHeight="1">
      <c r="A11" s="24">
        <f>IF('Production Inventory'!$C2="","",'Production Inventory'!$A2)</f>
        <v>46179</v>
      </c>
      <c r="B11" s="13" t="str">
        <f>IF('Production Inventory'!$C2="","",'Production Inventory'!$B2&amp;"")</f>
        <v>08:00 AM</v>
      </c>
      <c r="C11" s="11" t="str">
        <f>IF('Production Inventory'!$C2="","",'Production Inventory'!$C2&amp;"")</f>
        <v>Sample | Eco Gear Promo</v>
      </c>
      <c r="D11" s="11" t="str">
        <f>IF('Production Inventory'!$C2="","",'Production Inventory'!$D2&amp;"")</f>
        <v>Promo</v>
      </c>
      <c r="E11" s="11" t="str">
        <f>IF('Production Inventory'!$C2="","",'Production Inventory'!$E2&amp;"")</f>
        <v>Ready to Schedule</v>
      </c>
      <c r="F11" s="11" t="str">
        <f>IF('Production Inventory'!$C2="","",'Production Inventory'!$F2&amp;"")</f>
        <v>Email Manager</v>
      </c>
      <c r="G11" s="27" t="str">
        <f>IF('Production Inventory'!$C2="","",'Production Inventory'!$I2&amp;"")</f>
        <v>☑</v>
      </c>
      <c r="H11" s="27" t="str">
        <f>IF('Production Inventory'!$C2="","",'Production Inventory'!$K2&amp;"")</f>
        <v>☑</v>
      </c>
      <c r="I11" s="27" t="str">
        <f>IF('Production Inventory'!$C2="","",'Production Inventory'!$M2&amp;"")</f>
        <v>☑</v>
      </c>
      <c r="J11" s="16" t="str">
        <f>IF('Production Inventory'!$O2="","",HYPERLINK('Production Inventory'!$O2,"Jira"))</f>
        <v>Jira</v>
      </c>
      <c r="K11" s="16" t="str">
        <f>IF('Production Inventory'!$P2="","",HYPERLINK('Production Inventory'!$P2,"ClickUp"))</f>
        <v>ClickUp</v>
      </c>
      <c r="L11" s="16" t="str">
        <f>IF('Production Inventory'!$Q2="","",HYPERLINK('Production Inventory'!$Q2,"Bluecore"))</f>
        <v>Bluecore</v>
      </c>
    </row>
    <row r="12" spans="1:12" ht="24" customHeight="1">
      <c r="A12" s="24">
        <f>IF('Production Inventory'!$C3="","",'Production Inventory'!$A3)</f>
        <v>46180</v>
      </c>
      <c r="B12" s="13" t="str">
        <f>IF('Production Inventory'!$C3="","",'Production Inventory'!$B3&amp;"")</f>
        <v>10:00 AM</v>
      </c>
      <c r="C12" s="4" t="str">
        <f>IF('Production Inventory'!$C3="","",'Production Inventory'!$C3&amp;"")</f>
        <v>Sample | Weekly Newsletter</v>
      </c>
      <c r="D12" s="4" t="str">
        <f>IF('Production Inventory'!$C3="","",'Production Inventory'!$D3&amp;"")</f>
        <v>Newsletter</v>
      </c>
      <c r="E12" s="4" t="str">
        <f>IF('Production Inventory'!$C3="","",'Production Inventory'!$E3&amp;"")</f>
        <v>Source Code</v>
      </c>
      <c r="F12" s="4" t="str">
        <f>IF('Production Inventory'!$C3="","",'Production Inventory'!$F3&amp;"")</f>
        <v>Associate</v>
      </c>
      <c r="G12" s="28" t="str">
        <f>IF('Production Inventory'!$C3="","",'Production Inventory'!$I3&amp;"")</f>
        <v>☐</v>
      </c>
      <c r="H12" s="28" t="str">
        <f>IF('Production Inventory'!$C3="","",'Production Inventory'!$K3&amp;"")</f>
        <v>☐</v>
      </c>
      <c r="I12" s="28" t="str">
        <f>IF('Production Inventory'!$C3="","",'Production Inventory'!$M3&amp;"")</f>
        <v>☐</v>
      </c>
      <c r="J12" s="17" t="str">
        <f>IF('Production Inventory'!$O3="","",HYPERLINK('Production Inventory'!$O3,"Jira"))</f>
        <v>Jira</v>
      </c>
      <c r="K12" s="17" t="str">
        <f>IF('Production Inventory'!$P3="","",HYPERLINK('Production Inventory'!$P3,"ClickUp"))</f>
        <v>ClickUp</v>
      </c>
      <c r="L12" s="17" t="str">
        <f>IF('Production Inventory'!$Q3="","",HYPERLINK('Production Inventory'!$Q3,"Bluecore"))</f>
        <v>Bluecore</v>
      </c>
    </row>
    <row r="13" spans="1:12" ht="24" customHeight="1">
      <c r="A13" s="24">
        <f>IF('Production Inventory'!$C4="","",'Production Inventory'!$A4)</f>
        <v>46181</v>
      </c>
      <c r="B13" s="13" t="str">
        <f>IF('Production Inventory'!$C4="","",'Production Inventory'!$B4&amp;"")</f>
        <v>02:00 PM</v>
      </c>
      <c r="C13" s="4" t="str">
        <f>IF('Production Inventory'!$C4="","",'Production Inventory'!$C4&amp;"")</f>
        <v>Sample | Brand Spotlight</v>
      </c>
      <c r="D13" s="4" t="str">
        <f>IF('Production Inventory'!$C4="","",'Production Inventory'!$D4&amp;"")</f>
        <v>Brand</v>
      </c>
      <c r="E13" s="4" t="str">
        <f>IF('Production Inventory'!$C4="","",'Production Inventory'!$E4&amp;"")</f>
        <v>Source Code</v>
      </c>
      <c r="F13" s="4" t="str">
        <f>IF('Production Inventory'!$C4="","",'Production Inventory'!$F4&amp;"")</f>
        <v>Email Manager</v>
      </c>
      <c r="G13" s="28" t="str">
        <f>IF('Production Inventory'!$C4="","",'Production Inventory'!$I4&amp;"")</f>
        <v>☐</v>
      </c>
      <c r="H13" s="28" t="str">
        <f>IF('Production Inventory'!$C4="","",'Production Inventory'!$K4&amp;"")</f>
        <v>☐</v>
      </c>
      <c r="I13" s="28" t="str">
        <f>IF('Production Inventory'!$C4="","",'Production Inventory'!$M4&amp;"")</f>
        <v>☐</v>
      </c>
      <c r="J13" s="17" t="str">
        <f>IF('Production Inventory'!$O4="","",HYPERLINK('Production Inventory'!$O4,"Jira"))</f>
        <v>Jira</v>
      </c>
      <c r="K13" s="17" t="str">
        <f>IF('Production Inventory'!$P4="","",HYPERLINK('Production Inventory'!$P4,"ClickUp"))</f>
        <v/>
      </c>
      <c r="L13" s="17" t="str">
        <f>IF('Production Inventory'!$Q4="","",HYPERLINK('Production Inventory'!$Q4,"Bluecore"))</f>
        <v/>
      </c>
    </row>
    <row r="14" spans="1:12" ht="24" customHeight="1">
      <c r="A14" s="24">
        <f>IF('Production Inventory'!$C5="","",'Production Inventory'!$A5)</f>
        <v>46184</v>
      </c>
      <c r="B14" s="13" t="str">
        <f>IF('Production Inventory'!$C5="","",'Production Inventory'!$B5&amp;"")</f>
        <v>09:00 AM</v>
      </c>
      <c r="C14" s="4" t="str">
        <f>IF('Production Inventory'!$C5="","",'Production Inventory'!$C5&amp;"")</f>
        <v>Sample | VIP Offer</v>
      </c>
      <c r="D14" s="4" t="str">
        <f>IF('Production Inventory'!$C5="","",'Production Inventory'!$D5&amp;"")</f>
        <v>VIP</v>
      </c>
      <c r="E14" s="4" t="str">
        <f>IF('Production Inventory'!$C5="","",'Production Inventory'!$E5&amp;"")</f>
        <v>Source Code</v>
      </c>
      <c r="F14" s="4" t="str">
        <f>IF('Production Inventory'!$C5="","",'Production Inventory'!$F5&amp;"")</f>
        <v>Manager</v>
      </c>
      <c r="G14" s="28" t="str">
        <f>IF('Production Inventory'!$C5="","",'Production Inventory'!$I5&amp;"")</f>
        <v>☐</v>
      </c>
      <c r="H14" s="28" t="str">
        <f>IF('Production Inventory'!$C5="","",'Production Inventory'!$K5&amp;"")</f>
        <v>☐</v>
      </c>
      <c r="I14" s="28" t="str">
        <f>IF('Production Inventory'!$C5="","",'Production Inventory'!$M5&amp;"")</f>
        <v>☐</v>
      </c>
      <c r="J14" s="17" t="str">
        <f>IF('Production Inventory'!$O5="","",HYPERLINK('Production Inventory'!$O5,"Jira"))</f>
        <v>Jira</v>
      </c>
      <c r="K14" s="17" t="str">
        <f>IF('Production Inventory'!$P5="","",HYPERLINK('Production Inventory'!$P5,"ClickUp"))</f>
        <v/>
      </c>
      <c r="L14" s="17" t="str">
        <f>IF('Production Inventory'!$Q5="","",HYPERLINK('Production Inventory'!$Q5,"Bluecore"))</f>
        <v/>
      </c>
    </row>
    <row r="15" spans="1:12" ht="24" customHeight="1">
      <c r="A15" s="25">
        <f>IF('Production Inventory'!$C6="","",'Production Inventory'!$A6)</f>
        <v>46178</v>
      </c>
      <c r="B15" s="14" t="str">
        <f>IF('Production Inventory'!$C6="","",'Production Inventory'!$B6&amp;"")</f>
        <v>11:00 AM</v>
      </c>
      <c r="C15" s="4" t="str">
        <f>IF('Production Inventory'!$C6="","",'Production Inventory'!$C6&amp;"")</f>
        <v>Sample | Sent Campaign</v>
      </c>
      <c r="D15" s="4" t="str">
        <f>IF('Production Inventory'!$C6="","",'Production Inventory'!$D6&amp;"")</f>
        <v>Promo</v>
      </c>
      <c r="E15" s="4" t="str">
        <f>IF('Production Inventory'!$C6="","",'Production Inventory'!$E6&amp;"")</f>
        <v>Sent</v>
      </c>
      <c r="F15" s="4" t="str">
        <f>IF('Production Inventory'!$C6="","",'Production Inventory'!$F6&amp;"")</f>
        <v>Email Manager</v>
      </c>
      <c r="G15" s="28" t="str">
        <f>IF('Production Inventory'!$C6="","",'Production Inventory'!$I6&amp;"")</f>
        <v>☐</v>
      </c>
      <c r="H15" s="28" t="str">
        <f>IF('Production Inventory'!$C6="","",'Production Inventory'!$K6&amp;"")</f>
        <v>☐</v>
      </c>
      <c r="I15" s="28" t="str">
        <f>IF('Production Inventory'!$C6="","",'Production Inventory'!$M6&amp;"")</f>
        <v>☐</v>
      </c>
      <c r="J15" s="17" t="str">
        <f>IF('Production Inventory'!$O6="","",HYPERLINK('Production Inventory'!$O6,"Jira"))</f>
        <v>Jira</v>
      </c>
      <c r="K15" s="17" t="str">
        <f>IF('Production Inventory'!$P6="","",HYPERLINK('Production Inventory'!$P6,"ClickUp"))</f>
        <v>ClickUp</v>
      </c>
      <c r="L15" s="17" t="str">
        <f>IF('Production Inventory'!$Q6="","",HYPERLINK('Production Inventory'!$Q6,"Bluecore"))</f>
        <v>Bluecore</v>
      </c>
    </row>
    <row r="16" spans="1:12" ht="24" customHeight="1">
      <c r="A16" s="23">
        <f>IF('Production Inventory'!$C7="","",'Production Inventory'!$A7)</f>
        <v>46184</v>
      </c>
      <c r="B16" s="5" t="str">
        <f>IF('Production Inventory'!$C7="","",'Production Inventory'!$B7&amp;"")</f>
        <v>09:00 AM</v>
      </c>
      <c r="C16" s="4" t="str">
        <f>IF('Production Inventory'!$C7="","",'Production Inventory'!$C7&amp;"")</f>
        <v>Sample | VIP Offer</v>
      </c>
      <c r="D16" s="4" t="str">
        <f>IF('Production Inventory'!$C7="","",'Production Inventory'!$D7&amp;"")</f>
        <v>VIP</v>
      </c>
      <c r="E16" s="4" t="str">
        <f>IF('Production Inventory'!$C7="","",'Production Inventory'!$E7&amp;"")</f>
        <v>Source Code</v>
      </c>
      <c r="F16" s="4" t="str">
        <f>IF('Production Inventory'!$C7="","",'Production Inventory'!$F7&amp;"")</f>
        <v>Manager</v>
      </c>
      <c r="G16" s="28" t="str">
        <f>IF('Production Inventory'!$C7="","",'Production Inventory'!$I7&amp;"")</f>
        <v>☐</v>
      </c>
      <c r="H16" s="28" t="str">
        <f>IF('Production Inventory'!$C7="","",'Production Inventory'!$K7&amp;"")</f>
        <v>☐</v>
      </c>
      <c r="I16" s="28" t="str">
        <f>IF('Production Inventory'!$C7="","",'Production Inventory'!$M7&amp;"")</f>
        <v>☐</v>
      </c>
      <c r="J16" s="17" t="str">
        <f>IF('Production Inventory'!$O7="","",HYPERLINK('Production Inventory'!$O7,"Jira"))</f>
        <v>Jira</v>
      </c>
      <c r="K16" s="17" t="str">
        <f>IF('Production Inventory'!$P7="","",HYPERLINK('Production Inventory'!$P7,"ClickUp"))</f>
        <v/>
      </c>
      <c r="L16" s="17" t="str">
        <f>IF('Production Inventory'!$Q7="","",HYPERLINK('Production Inventory'!$Q7,"Bluecore"))</f>
        <v/>
      </c>
    </row>
    <row r="17" spans="1:12" ht="45.75" customHeight="1">
      <c r="A17" s="23">
        <f>IF('Production Inventory'!$C8="","",'Production Inventory'!$A8)</f>
        <v>46185</v>
      </c>
      <c r="B17" s="5" t="str">
        <f>IF('Production Inventory'!$C8="","",'Production Inventory'!$B8&amp;"")</f>
        <v>09:00 AM</v>
      </c>
      <c r="C17" s="4" t="str">
        <f>IF('Production Inventory'!$C8="","",'Production Inventory'!$C8&amp;"")</f>
        <v>060926-08AM-Dive Wear Best Sellers Resend</v>
      </c>
      <c r="D17" s="4" t="str">
        <f>IF('Production Inventory'!$C8="","",'Production Inventory'!$D8&amp;"")</f>
        <v>Brand</v>
      </c>
      <c r="E17" s="4" t="str">
        <f>IF('Production Inventory'!$C8="","",'Production Inventory'!$E8&amp;"")</f>
        <v>Source Code</v>
      </c>
      <c r="F17" s="4" t="str">
        <f>IF('Production Inventory'!$C8="","",'Production Inventory'!$F8&amp;"")</f>
        <v>Associate</v>
      </c>
      <c r="G17" s="28" t="str">
        <f>IF('Production Inventory'!$C8="","",'Production Inventory'!$I8&amp;"")</f>
        <v>☐</v>
      </c>
      <c r="H17" s="28" t="str">
        <f>IF('Production Inventory'!$C8="","",'Production Inventory'!$K8&amp;"")</f>
        <v>☐</v>
      </c>
      <c r="I17" s="28" t="str">
        <f>IF('Production Inventory'!$C8="","",'Production Inventory'!$M8&amp;"")</f>
        <v>☐</v>
      </c>
      <c r="J17" s="17" t="str">
        <f>IF('Production Inventory'!$O8="","",HYPERLINK('Production Inventory'!$O8,"Jira"))</f>
        <v>Jira</v>
      </c>
      <c r="K17" s="17" t="str">
        <f>IF('Production Inventory'!$P8="","",HYPERLINK('Production Inventory'!$P8,"ClickUp"))</f>
        <v/>
      </c>
      <c r="L17" s="17" t="str">
        <f>IF('Production Inventory'!$Q8="","",HYPERLINK('Production Inventory'!$Q8,"Bluecore"))</f>
        <v/>
      </c>
    </row>
    <row r="18" spans="1:12" ht="24" customHeight="1">
      <c r="A18" s="23" t="str">
        <f>IF('Production Inventory'!$C9="","",'Production Inventory'!$A9)</f>
        <v/>
      </c>
      <c r="B18" s="5" t="str">
        <f>IF('Production Inventory'!$C9="","",'Production Inventory'!$B9&amp;"")</f>
        <v/>
      </c>
      <c r="C18" s="4" t="str">
        <f>IF('Production Inventory'!$C9="","",'Production Inventory'!$C9&amp;"")</f>
        <v/>
      </c>
      <c r="D18" s="4" t="str">
        <f>IF('Production Inventory'!$C9="","",'Production Inventory'!$D9&amp;"")</f>
        <v/>
      </c>
      <c r="E18" s="4" t="str">
        <f>IF('Production Inventory'!$C9="","",'Production Inventory'!$E9&amp;"")</f>
        <v/>
      </c>
      <c r="F18" s="4" t="str">
        <f>IF('Production Inventory'!$C9="","",'Production Inventory'!$F9&amp;"")</f>
        <v/>
      </c>
      <c r="G18" s="28" t="str">
        <f>IF('Production Inventory'!$C9="","",'Production Inventory'!$I9&amp;"")</f>
        <v/>
      </c>
      <c r="H18" s="28" t="str">
        <f>IF('Production Inventory'!$C9="","",'Production Inventory'!$K9&amp;"")</f>
        <v/>
      </c>
      <c r="I18" s="28" t="str">
        <f>IF('Production Inventory'!$C9="","",'Production Inventory'!$M9&amp;"")</f>
        <v/>
      </c>
      <c r="J18" s="17" t="str">
        <f>IF('Production Inventory'!$O9="","",HYPERLINK('Production Inventory'!$O9,"Jira"))</f>
        <v/>
      </c>
      <c r="K18" s="17" t="str">
        <f>IF('Production Inventory'!$P9="","",HYPERLINK('Production Inventory'!$P9,"ClickUp"))</f>
        <v/>
      </c>
      <c r="L18" s="17" t="str">
        <f>IF('Production Inventory'!$Q9="","",HYPERLINK('Production Inventory'!$Q9,"Bluecore"))</f>
        <v/>
      </c>
    </row>
    <row r="19" spans="1:12" ht="24" customHeight="1">
      <c r="A19" s="23" t="str">
        <f>IF('Production Inventory'!$C10="","",'Production Inventory'!$A10)</f>
        <v/>
      </c>
      <c r="B19" s="5" t="str">
        <f>IF('Production Inventory'!$C10="","",'Production Inventory'!$B10&amp;"")</f>
        <v/>
      </c>
      <c r="C19" s="4" t="str">
        <f>IF('Production Inventory'!$C10="","",'Production Inventory'!$C10&amp;"")</f>
        <v/>
      </c>
      <c r="D19" s="4" t="str">
        <f>IF('Production Inventory'!$C10="","",'Production Inventory'!$D10&amp;"")</f>
        <v/>
      </c>
      <c r="E19" s="4" t="str">
        <f>IF('Production Inventory'!$C10="","",'Production Inventory'!$E10&amp;"")</f>
        <v/>
      </c>
      <c r="F19" s="4" t="str">
        <f>IF('Production Inventory'!$C10="","",'Production Inventory'!$F10&amp;"")</f>
        <v/>
      </c>
      <c r="G19" s="28" t="str">
        <f>IF('Production Inventory'!$C10="","",'Production Inventory'!$I10&amp;"")</f>
        <v/>
      </c>
      <c r="H19" s="28" t="str">
        <f>IF('Production Inventory'!$C10="","",'Production Inventory'!$K10&amp;"")</f>
        <v/>
      </c>
      <c r="I19" s="28" t="str">
        <f>IF('Production Inventory'!$C10="","",'Production Inventory'!$M10&amp;"")</f>
        <v/>
      </c>
      <c r="J19" s="17" t="str">
        <f>IF('Production Inventory'!$O10="","",HYPERLINK('Production Inventory'!$O10,"Jira"))</f>
        <v/>
      </c>
      <c r="K19" s="17" t="str">
        <f>IF('Production Inventory'!$P10="","",HYPERLINK('Production Inventory'!$P10,"ClickUp"))</f>
        <v/>
      </c>
      <c r="L19" s="17" t="str">
        <f>IF('Production Inventory'!$Q10="","",HYPERLINK('Production Inventory'!$Q10,"Bluecore"))</f>
        <v/>
      </c>
    </row>
    <row r="20" spans="1:12" ht="24" customHeight="1">
      <c r="A20" s="23" t="str">
        <f>IF('Production Inventory'!$C11="","",'Production Inventory'!$A11)</f>
        <v/>
      </c>
      <c r="B20" s="5" t="str">
        <f>IF('Production Inventory'!$C11="","",'Production Inventory'!$B11&amp;"")</f>
        <v/>
      </c>
      <c r="C20" s="4" t="str">
        <f>IF('Production Inventory'!$C11="","",'Production Inventory'!$C11&amp;"")</f>
        <v/>
      </c>
      <c r="D20" s="4" t="str">
        <f>IF('Production Inventory'!$C11="","",'Production Inventory'!$D11&amp;"")</f>
        <v/>
      </c>
      <c r="E20" s="4" t="str">
        <f>IF('Production Inventory'!$C11="","",'Production Inventory'!$E11&amp;"")</f>
        <v/>
      </c>
      <c r="F20" s="4" t="str">
        <f>IF('Production Inventory'!$C11="","",'Production Inventory'!$F11&amp;"")</f>
        <v/>
      </c>
      <c r="G20" s="28" t="str">
        <f>IF('Production Inventory'!$C11="","",'Production Inventory'!$I11&amp;"")</f>
        <v/>
      </c>
      <c r="H20" s="28" t="str">
        <f>IF('Production Inventory'!$C11="","",'Production Inventory'!$K11&amp;"")</f>
        <v/>
      </c>
      <c r="I20" s="28" t="str">
        <f>IF('Production Inventory'!$C11="","",'Production Inventory'!$M11&amp;"")</f>
        <v/>
      </c>
      <c r="J20" s="17" t="str">
        <f>IF('Production Inventory'!$O11="","",HYPERLINK('Production Inventory'!$O11,"Jira"))</f>
        <v/>
      </c>
      <c r="K20" s="17" t="str">
        <f>IF('Production Inventory'!$P11="","",HYPERLINK('Production Inventory'!$P11,"ClickUp"))</f>
        <v/>
      </c>
      <c r="L20" s="17" t="str">
        <f>IF('Production Inventory'!$Q11="","",HYPERLINK('Production Inventory'!$Q11,"Bluecore"))</f>
        <v/>
      </c>
    </row>
    <row r="21" spans="1:12" ht="24" customHeight="1">
      <c r="A21" s="23" t="str">
        <f>IF('Production Inventory'!$C12="","",'Production Inventory'!$A12)</f>
        <v/>
      </c>
      <c r="B21" s="5" t="str">
        <f>IF('Production Inventory'!$C12="","",'Production Inventory'!$B12&amp;"")</f>
        <v/>
      </c>
      <c r="C21" s="4" t="str">
        <f>IF('Production Inventory'!$C12="","",'Production Inventory'!$C12&amp;"")</f>
        <v/>
      </c>
      <c r="D21" s="4" t="str">
        <f>IF('Production Inventory'!$C12="","",'Production Inventory'!$D12&amp;"")</f>
        <v/>
      </c>
      <c r="E21" s="4" t="str">
        <f>IF('Production Inventory'!$C12="","",'Production Inventory'!$E12&amp;"")</f>
        <v/>
      </c>
      <c r="F21" s="4" t="str">
        <f>IF('Production Inventory'!$C12="","",'Production Inventory'!$F12&amp;"")</f>
        <v/>
      </c>
      <c r="G21" s="28" t="str">
        <f>IF('Production Inventory'!$C12="","",'Production Inventory'!$I12&amp;"")</f>
        <v/>
      </c>
      <c r="H21" s="28" t="str">
        <f>IF('Production Inventory'!$C12="","",'Production Inventory'!$K12&amp;"")</f>
        <v/>
      </c>
      <c r="I21" s="28" t="str">
        <f>IF('Production Inventory'!$C12="","",'Production Inventory'!$M12&amp;"")</f>
        <v/>
      </c>
      <c r="J21" s="17" t="str">
        <f>IF('Production Inventory'!$O12="","",HYPERLINK('Production Inventory'!$O12,"Jira"))</f>
        <v/>
      </c>
      <c r="K21" s="17" t="str">
        <f>IF('Production Inventory'!$P12="","",HYPERLINK('Production Inventory'!$P12,"ClickUp"))</f>
        <v/>
      </c>
      <c r="L21" s="17" t="str">
        <f>IF('Production Inventory'!$Q12="","",HYPERLINK('Production Inventory'!$Q12,"Bluecore"))</f>
        <v/>
      </c>
    </row>
    <row r="22" spans="1:12" ht="24" customHeight="1">
      <c r="A22" s="23" t="str">
        <f>IF('Production Inventory'!$C13="","",'Production Inventory'!$A13)</f>
        <v/>
      </c>
      <c r="B22" s="5" t="str">
        <f>IF('Production Inventory'!$C13="","",'Production Inventory'!$B13&amp;"")</f>
        <v/>
      </c>
      <c r="C22" s="4" t="str">
        <f>IF('Production Inventory'!$C13="","",'Production Inventory'!$C13&amp;"")</f>
        <v/>
      </c>
      <c r="D22" s="4" t="str">
        <f>IF('Production Inventory'!$C13="","",'Production Inventory'!$D13&amp;"")</f>
        <v/>
      </c>
      <c r="E22" s="4" t="str">
        <f>IF('Production Inventory'!$C13="","",'Production Inventory'!$E13&amp;"")</f>
        <v/>
      </c>
      <c r="F22" s="4" t="str">
        <f>IF('Production Inventory'!$C13="","",'Production Inventory'!$F13&amp;"")</f>
        <v/>
      </c>
      <c r="G22" s="28" t="str">
        <f>IF('Production Inventory'!$C13="","",'Production Inventory'!$I13&amp;"")</f>
        <v/>
      </c>
      <c r="H22" s="28" t="str">
        <f>IF('Production Inventory'!$C13="","",'Production Inventory'!$K13&amp;"")</f>
        <v/>
      </c>
      <c r="I22" s="28" t="str">
        <f>IF('Production Inventory'!$C13="","",'Production Inventory'!$M13&amp;"")</f>
        <v/>
      </c>
      <c r="J22" s="17" t="str">
        <f>IF('Production Inventory'!$O13="","",HYPERLINK('Production Inventory'!$O13,"Jira"))</f>
        <v/>
      </c>
      <c r="K22" s="17" t="str">
        <f>IF('Production Inventory'!$P13="","",HYPERLINK('Production Inventory'!$P13,"ClickUp"))</f>
        <v/>
      </c>
      <c r="L22" s="17" t="str">
        <f>IF('Production Inventory'!$Q13="","",HYPERLINK('Production Inventory'!$Q13,"Bluecore"))</f>
        <v/>
      </c>
    </row>
    <row r="23" spans="1:12" ht="24" customHeight="1">
      <c r="A23" s="23" t="str">
        <f>IF('Production Inventory'!$C14="","",'Production Inventory'!$A14)</f>
        <v/>
      </c>
      <c r="B23" s="5" t="str">
        <f>IF('Production Inventory'!$C14="","",'Production Inventory'!$B14&amp;"")</f>
        <v/>
      </c>
      <c r="C23" s="4" t="str">
        <f>IF('Production Inventory'!$C14="","",'Production Inventory'!$C14&amp;"")</f>
        <v/>
      </c>
      <c r="D23" s="4" t="str">
        <f>IF('Production Inventory'!$C14="","",'Production Inventory'!$D14&amp;"")</f>
        <v/>
      </c>
      <c r="E23" s="4" t="str">
        <f>IF('Production Inventory'!$C14="","",'Production Inventory'!$E14&amp;"")</f>
        <v/>
      </c>
      <c r="F23" s="4" t="str">
        <f>IF('Production Inventory'!$C14="","",'Production Inventory'!$F14&amp;"")</f>
        <v/>
      </c>
      <c r="G23" s="28" t="str">
        <f>IF('Production Inventory'!$C14="","",'Production Inventory'!$I14&amp;"")</f>
        <v/>
      </c>
      <c r="H23" s="28" t="str">
        <f>IF('Production Inventory'!$C14="","",'Production Inventory'!$K14&amp;"")</f>
        <v/>
      </c>
      <c r="I23" s="28" t="str">
        <f>IF('Production Inventory'!$C14="","",'Production Inventory'!$M14&amp;"")</f>
        <v/>
      </c>
      <c r="J23" s="17" t="str">
        <f>IF('Production Inventory'!$O14="","",HYPERLINK('Production Inventory'!$O14,"Jira"))</f>
        <v/>
      </c>
      <c r="K23" s="17" t="str">
        <f>IF('Production Inventory'!$P14="","",HYPERLINK('Production Inventory'!$P14,"ClickUp"))</f>
        <v/>
      </c>
      <c r="L23" s="17" t="str">
        <f>IF('Production Inventory'!$Q14="","",HYPERLINK('Production Inventory'!$Q14,"Bluecore"))</f>
        <v/>
      </c>
    </row>
    <row r="24" spans="1:12" ht="24" customHeight="1">
      <c r="A24" s="23" t="str">
        <f>IF('Production Inventory'!$C15="","",'Production Inventory'!$A15)</f>
        <v/>
      </c>
      <c r="B24" s="5" t="str">
        <f>IF('Production Inventory'!$C15="","",'Production Inventory'!$B15&amp;"")</f>
        <v/>
      </c>
      <c r="C24" s="4" t="str">
        <f>IF('Production Inventory'!$C15="","",'Production Inventory'!$C15&amp;"")</f>
        <v/>
      </c>
      <c r="D24" s="4" t="str">
        <f>IF('Production Inventory'!$C15="","",'Production Inventory'!$D15&amp;"")</f>
        <v/>
      </c>
      <c r="E24" s="4" t="str">
        <f>IF('Production Inventory'!$C15="","",'Production Inventory'!$E15&amp;"")</f>
        <v/>
      </c>
      <c r="F24" s="4" t="str">
        <f>IF('Production Inventory'!$C15="","",'Production Inventory'!$F15&amp;"")</f>
        <v/>
      </c>
      <c r="G24" s="28" t="str">
        <f>IF('Production Inventory'!$C15="","",'Production Inventory'!$I15&amp;"")</f>
        <v/>
      </c>
      <c r="H24" s="28" t="str">
        <f>IF('Production Inventory'!$C15="","",'Production Inventory'!$K15&amp;"")</f>
        <v/>
      </c>
      <c r="I24" s="28" t="str">
        <f>IF('Production Inventory'!$C15="","",'Production Inventory'!$M15&amp;"")</f>
        <v/>
      </c>
      <c r="J24" s="17" t="str">
        <f>IF('Production Inventory'!$O15="","",HYPERLINK('Production Inventory'!$O15,"Jira"))</f>
        <v/>
      </c>
      <c r="K24" s="17" t="str">
        <f>IF('Production Inventory'!$P15="","",HYPERLINK('Production Inventory'!$P15,"ClickUp"))</f>
        <v/>
      </c>
      <c r="L24" s="17" t="str">
        <f>IF('Production Inventory'!$Q15="","",HYPERLINK('Production Inventory'!$Q15,"Bluecore"))</f>
        <v/>
      </c>
    </row>
    <row r="25" spans="1:12" ht="24" customHeight="1">
      <c r="A25" s="23" t="str">
        <f>IF('Production Inventory'!$C16="","",'Production Inventory'!$A16)</f>
        <v/>
      </c>
      <c r="B25" s="5" t="str">
        <f>IF('Production Inventory'!$C16="","",'Production Inventory'!$B16&amp;"")</f>
        <v/>
      </c>
      <c r="C25" s="4" t="str">
        <f>IF('Production Inventory'!$C16="","",'Production Inventory'!$C16&amp;"")</f>
        <v/>
      </c>
      <c r="D25" s="4" t="str">
        <f>IF('Production Inventory'!$C16="","",'Production Inventory'!$D16&amp;"")</f>
        <v/>
      </c>
      <c r="E25" s="4" t="str">
        <f>IF('Production Inventory'!$C16="","",'Production Inventory'!$E16&amp;"")</f>
        <v/>
      </c>
      <c r="F25" s="4" t="str">
        <f>IF('Production Inventory'!$C16="","",'Production Inventory'!$F16&amp;"")</f>
        <v/>
      </c>
      <c r="G25" s="28" t="str">
        <f>IF('Production Inventory'!$C16="","",'Production Inventory'!$I16&amp;"")</f>
        <v/>
      </c>
      <c r="H25" s="28" t="str">
        <f>IF('Production Inventory'!$C16="","",'Production Inventory'!$K16&amp;"")</f>
        <v/>
      </c>
      <c r="I25" s="28" t="str">
        <f>IF('Production Inventory'!$C16="","",'Production Inventory'!$M16&amp;"")</f>
        <v/>
      </c>
      <c r="J25" s="17" t="str">
        <f>IF('Production Inventory'!$O16="","",HYPERLINK('Production Inventory'!$O16,"Jira"))</f>
        <v/>
      </c>
      <c r="K25" s="17" t="str">
        <f>IF('Production Inventory'!$P16="","",HYPERLINK('Production Inventory'!$P16,"ClickUp"))</f>
        <v/>
      </c>
      <c r="L25" s="17" t="str">
        <f>IF('Production Inventory'!$Q16="","",HYPERLINK('Production Inventory'!$Q16,"Bluecore"))</f>
        <v/>
      </c>
    </row>
    <row r="26" spans="1:12" ht="24" customHeight="1">
      <c r="A26" s="23" t="str">
        <f>IF('Production Inventory'!$C17="","",'Production Inventory'!$A17)</f>
        <v/>
      </c>
      <c r="B26" s="5" t="str">
        <f>IF('Production Inventory'!$C17="","",'Production Inventory'!$B17&amp;"")</f>
        <v/>
      </c>
      <c r="C26" s="4" t="str">
        <f>IF('Production Inventory'!$C17="","",'Production Inventory'!$C17&amp;"")</f>
        <v/>
      </c>
      <c r="D26" s="4" t="str">
        <f>IF('Production Inventory'!$C17="","",'Production Inventory'!$D17&amp;"")</f>
        <v/>
      </c>
      <c r="E26" s="4" t="str">
        <f>IF('Production Inventory'!$C17="","",'Production Inventory'!$E17&amp;"")</f>
        <v/>
      </c>
      <c r="F26" s="4" t="str">
        <f>IF('Production Inventory'!$C17="","",'Production Inventory'!$F17&amp;"")</f>
        <v/>
      </c>
      <c r="G26" s="28" t="str">
        <f>IF('Production Inventory'!$C17="","",'Production Inventory'!$I17&amp;"")</f>
        <v/>
      </c>
      <c r="H26" s="28" t="str">
        <f>IF('Production Inventory'!$C17="","",'Production Inventory'!$K17&amp;"")</f>
        <v/>
      </c>
      <c r="I26" s="28" t="str">
        <f>IF('Production Inventory'!$C17="","",'Production Inventory'!$M17&amp;"")</f>
        <v/>
      </c>
      <c r="J26" s="17" t="str">
        <f>IF('Production Inventory'!$O17="","",HYPERLINK('Production Inventory'!$O17,"Jira"))</f>
        <v/>
      </c>
      <c r="K26" s="17" t="str">
        <f>IF('Production Inventory'!$P17="","",HYPERLINK('Production Inventory'!$P17,"ClickUp"))</f>
        <v/>
      </c>
      <c r="L26" s="17" t="str">
        <f>IF('Production Inventory'!$Q17="","",HYPERLINK('Production Inventory'!$Q17,"Bluecore"))</f>
        <v/>
      </c>
    </row>
    <row r="27" spans="1:12" ht="24" customHeight="1">
      <c r="A27" s="23" t="str">
        <f>IF('Production Inventory'!$C18="","",'Production Inventory'!$A18)</f>
        <v/>
      </c>
      <c r="B27" s="5" t="str">
        <f>IF('Production Inventory'!$C18="","",'Production Inventory'!$B18&amp;"")</f>
        <v/>
      </c>
      <c r="C27" s="4" t="str">
        <f>IF('Production Inventory'!$C18="","",'Production Inventory'!$C18&amp;"")</f>
        <v/>
      </c>
      <c r="D27" s="4" t="str">
        <f>IF('Production Inventory'!$C18="","",'Production Inventory'!$D18&amp;"")</f>
        <v/>
      </c>
      <c r="E27" s="4" t="str">
        <f>IF('Production Inventory'!$C18="","",'Production Inventory'!$E18&amp;"")</f>
        <v/>
      </c>
      <c r="F27" s="4" t="str">
        <f>IF('Production Inventory'!$C18="","",'Production Inventory'!$F18&amp;"")</f>
        <v/>
      </c>
      <c r="G27" s="28" t="str">
        <f>IF('Production Inventory'!$C18="","",'Production Inventory'!$I18&amp;"")</f>
        <v/>
      </c>
      <c r="H27" s="28" t="str">
        <f>IF('Production Inventory'!$C18="","",'Production Inventory'!$K18&amp;"")</f>
        <v/>
      </c>
      <c r="I27" s="28" t="str">
        <f>IF('Production Inventory'!$C18="","",'Production Inventory'!$M18&amp;"")</f>
        <v/>
      </c>
      <c r="J27" s="17" t="str">
        <f>IF('Production Inventory'!$O18="","",HYPERLINK('Production Inventory'!$O18,"Jira"))</f>
        <v/>
      </c>
      <c r="K27" s="17" t="str">
        <f>IF('Production Inventory'!$P18="","",HYPERLINK('Production Inventory'!$P18,"ClickUp"))</f>
        <v/>
      </c>
      <c r="L27" s="17" t="str">
        <f>IF('Production Inventory'!$Q18="","",HYPERLINK('Production Inventory'!$Q18,"Bluecore"))</f>
        <v/>
      </c>
    </row>
    <row r="28" spans="1:12" ht="24" customHeight="1">
      <c r="A28" s="23" t="str">
        <f>IF('Production Inventory'!$C19="","",'Production Inventory'!$A19)</f>
        <v/>
      </c>
      <c r="B28" s="5" t="str">
        <f>IF('Production Inventory'!$C19="","",'Production Inventory'!$B19&amp;"")</f>
        <v/>
      </c>
      <c r="C28" s="4" t="str">
        <f>IF('Production Inventory'!$C19="","",'Production Inventory'!$C19&amp;"")</f>
        <v/>
      </c>
      <c r="D28" s="4" t="str">
        <f>IF('Production Inventory'!$C19="","",'Production Inventory'!$D19&amp;"")</f>
        <v/>
      </c>
      <c r="E28" s="4" t="str">
        <f>IF('Production Inventory'!$C19="","",'Production Inventory'!$E19&amp;"")</f>
        <v/>
      </c>
      <c r="F28" s="4" t="str">
        <f>IF('Production Inventory'!$C19="","",'Production Inventory'!$F19&amp;"")</f>
        <v/>
      </c>
      <c r="G28" s="28" t="str">
        <f>IF('Production Inventory'!$C19="","",'Production Inventory'!$I19&amp;"")</f>
        <v/>
      </c>
      <c r="H28" s="28" t="str">
        <f>IF('Production Inventory'!$C19="","",'Production Inventory'!$K19&amp;"")</f>
        <v/>
      </c>
      <c r="I28" s="28" t="str">
        <f>IF('Production Inventory'!$C19="","",'Production Inventory'!$M19&amp;"")</f>
        <v/>
      </c>
      <c r="J28" s="17" t="str">
        <f>IF('Production Inventory'!$O19="","",HYPERLINK('Production Inventory'!$O19,"Jira"))</f>
        <v/>
      </c>
      <c r="K28" s="17" t="str">
        <f>IF('Production Inventory'!$P19="","",HYPERLINK('Production Inventory'!$P19,"ClickUp"))</f>
        <v/>
      </c>
      <c r="L28" s="17" t="str">
        <f>IF('Production Inventory'!$Q19="","",HYPERLINK('Production Inventory'!$Q19,"Bluecore"))</f>
        <v/>
      </c>
    </row>
    <row r="29" spans="1:12" ht="24" customHeight="1">
      <c r="A29" s="23" t="str">
        <f>IF('Production Inventory'!$C20="","",'Production Inventory'!$A20)</f>
        <v/>
      </c>
      <c r="B29" s="5" t="str">
        <f>IF('Production Inventory'!$C20="","",'Production Inventory'!$B20&amp;"")</f>
        <v/>
      </c>
      <c r="C29" s="4" t="str">
        <f>IF('Production Inventory'!$C20="","",'Production Inventory'!$C20&amp;"")</f>
        <v/>
      </c>
      <c r="D29" s="4" t="str">
        <f>IF('Production Inventory'!$C20="","",'Production Inventory'!$D20&amp;"")</f>
        <v/>
      </c>
      <c r="E29" s="4" t="str">
        <f>IF('Production Inventory'!$C20="","",'Production Inventory'!$E20&amp;"")</f>
        <v/>
      </c>
      <c r="F29" s="4" t="str">
        <f>IF('Production Inventory'!$C20="","",'Production Inventory'!$F20&amp;"")</f>
        <v/>
      </c>
      <c r="G29" s="28" t="str">
        <f>IF('Production Inventory'!$C20="","",'Production Inventory'!$I20&amp;"")</f>
        <v/>
      </c>
      <c r="H29" s="28" t="str">
        <f>IF('Production Inventory'!$C20="","",'Production Inventory'!$K20&amp;"")</f>
        <v/>
      </c>
      <c r="I29" s="28" t="str">
        <f>IF('Production Inventory'!$C20="","",'Production Inventory'!$M20&amp;"")</f>
        <v/>
      </c>
      <c r="J29" s="17" t="str">
        <f>IF('Production Inventory'!$O20="","",HYPERLINK('Production Inventory'!$O20,"Jira"))</f>
        <v/>
      </c>
      <c r="K29" s="17" t="str">
        <f>IF('Production Inventory'!$P20="","",HYPERLINK('Production Inventory'!$P20,"ClickUp"))</f>
        <v/>
      </c>
      <c r="L29" s="17" t="str">
        <f>IF('Production Inventory'!$Q20="","",HYPERLINK('Production Inventory'!$Q20,"Bluecore"))</f>
        <v/>
      </c>
    </row>
    <row r="30" spans="1:12" ht="24" customHeight="1">
      <c r="A30" s="23" t="str">
        <f>IF('Production Inventory'!$C21="","",'Production Inventory'!$A21)</f>
        <v/>
      </c>
      <c r="B30" s="5" t="str">
        <f>IF('Production Inventory'!$C21="","",'Production Inventory'!$B21&amp;"")</f>
        <v/>
      </c>
      <c r="C30" s="4" t="str">
        <f>IF('Production Inventory'!$C21="","",'Production Inventory'!$C21&amp;"")</f>
        <v/>
      </c>
      <c r="D30" s="4" t="str">
        <f>IF('Production Inventory'!$C21="","",'Production Inventory'!$D21&amp;"")</f>
        <v/>
      </c>
      <c r="E30" s="4" t="str">
        <f>IF('Production Inventory'!$C21="","",'Production Inventory'!$E21&amp;"")</f>
        <v/>
      </c>
      <c r="F30" s="4" t="str">
        <f>IF('Production Inventory'!$C21="","",'Production Inventory'!$F21&amp;"")</f>
        <v/>
      </c>
      <c r="G30" s="28" t="str">
        <f>IF('Production Inventory'!$C21="","",'Production Inventory'!$I21&amp;"")</f>
        <v/>
      </c>
      <c r="H30" s="28" t="str">
        <f>IF('Production Inventory'!$C21="","",'Production Inventory'!$K21&amp;"")</f>
        <v/>
      </c>
      <c r="I30" s="28" t="str">
        <f>IF('Production Inventory'!$C21="","",'Production Inventory'!$M21&amp;"")</f>
        <v/>
      </c>
      <c r="J30" s="17" t="str">
        <f>IF('Production Inventory'!$O21="","",HYPERLINK('Production Inventory'!$O21,"Jira"))</f>
        <v/>
      </c>
      <c r="K30" s="17" t="str">
        <f>IF('Production Inventory'!$P21="","",HYPERLINK('Production Inventory'!$P21,"ClickUp"))</f>
        <v/>
      </c>
      <c r="L30" s="17" t="str">
        <f>IF('Production Inventory'!$Q21="","",HYPERLINK('Production Inventory'!$Q21,"Bluecore"))</f>
        <v/>
      </c>
    </row>
    <row r="31" spans="1:12" ht="24" customHeight="1">
      <c r="A31" s="23" t="str">
        <f>IF('Production Inventory'!$C22="","",'Production Inventory'!$A22)</f>
        <v/>
      </c>
      <c r="B31" s="5" t="str">
        <f>IF('Production Inventory'!$C22="","",'Production Inventory'!$B22&amp;"")</f>
        <v/>
      </c>
      <c r="C31" s="4" t="str">
        <f>IF('Production Inventory'!$C22="","",'Production Inventory'!$C22&amp;"")</f>
        <v/>
      </c>
      <c r="D31" s="4" t="str">
        <f>IF('Production Inventory'!$C22="","",'Production Inventory'!$D22&amp;"")</f>
        <v/>
      </c>
      <c r="E31" s="4" t="str">
        <f>IF('Production Inventory'!$C22="","",'Production Inventory'!$E22&amp;"")</f>
        <v/>
      </c>
      <c r="F31" s="4" t="str">
        <f>IF('Production Inventory'!$C22="","",'Production Inventory'!$F22&amp;"")</f>
        <v/>
      </c>
      <c r="G31" s="28" t="str">
        <f>IF('Production Inventory'!$C22="","",'Production Inventory'!$I22&amp;"")</f>
        <v/>
      </c>
      <c r="H31" s="28" t="str">
        <f>IF('Production Inventory'!$C22="","",'Production Inventory'!$K22&amp;"")</f>
        <v/>
      </c>
      <c r="I31" s="28" t="str">
        <f>IF('Production Inventory'!$C22="","",'Production Inventory'!$M22&amp;"")</f>
        <v/>
      </c>
      <c r="J31" s="17" t="str">
        <f>IF('Production Inventory'!$O22="","",HYPERLINK('Production Inventory'!$O22,"Jira"))</f>
        <v/>
      </c>
      <c r="K31" s="17" t="str">
        <f>IF('Production Inventory'!$P22="","",HYPERLINK('Production Inventory'!$P22,"ClickUp"))</f>
        <v/>
      </c>
      <c r="L31" s="17" t="str">
        <f>IF('Production Inventory'!$Q22="","",HYPERLINK('Production Inventory'!$Q22,"Bluecore"))</f>
        <v/>
      </c>
    </row>
    <row r="32" spans="1:12" ht="24" customHeight="1">
      <c r="A32" s="23" t="str">
        <f>IF('Production Inventory'!$C23="","",'Production Inventory'!$A23)</f>
        <v/>
      </c>
      <c r="B32" s="5" t="str">
        <f>IF('Production Inventory'!$C23="","",'Production Inventory'!$B23&amp;"")</f>
        <v/>
      </c>
      <c r="C32" s="4" t="str">
        <f>IF('Production Inventory'!$C23="","",'Production Inventory'!$C23&amp;"")</f>
        <v/>
      </c>
      <c r="D32" s="4" t="str">
        <f>IF('Production Inventory'!$C23="","",'Production Inventory'!$D23&amp;"")</f>
        <v/>
      </c>
      <c r="E32" s="4" t="str">
        <f>IF('Production Inventory'!$C23="","",'Production Inventory'!$E23&amp;"")</f>
        <v/>
      </c>
      <c r="F32" s="4" t="str">
        <f>IF('Production Inventory'!$C23="","",'Production Inventory'!$F23&amp;"")</f>
        <v/>
      </c>
      <c r="G32" s="28" t="str">
        <f>IF('Production Inventory'!$C23="","",'Production Inventory'!$I23&amp;"")</f>
        <v/>
      </c>
      <c r="H32" s="28" t="str">
        <f>IF('Production Inventory'!$C23="","",'Production Inventory'!$K23&amp;"")</f>
        <v/>
      </c>
      <c r="I32" s="28" t="str">
        <f>IF('Production Inventory'!$C23="","",'Production Inventory'!$M23&amp;"")</f>
        <v/>
      </c>
      <c r="J32" s="17" t="str">
        <f>IF('Production Inventory'!$O23="","",HYPERLINK('Production Inventory'!$O23,"Jira"))</f>
        <v/>
      </c>
      <c r="K32" s="17" t="str">
        <f>IF('Production Inventory'!$P23="","",HYPERLINK('Production Inventory'!$P23,"ClickUp"))</f>
        <v/>
      </c>
      <c r="L32" s="17" t="str">
        <f>IF('Production Inventory'!$Q23="","",HYPERLINK('Production Inventory'!$Q23,"Bluecore"))</f>
        <v/>
      </c>
    </row>
    <row r="33" spans="1:12" ht="24" customHeight="1">
      <c r="A33" s="23" t="str">
        <f>IF('Production Inventory'!$C24="","",'Production Inventory'!$A24)</f>
        <v/>
      </c>
      <c r="B33" s="5" t="str">
        <f>IF('Production Inventory'!$C24="","",'Production Inventory'!$B24&amp;"")</f>
        <v/>
      </c>
      <c r="C33" s="4" t="str">
        <f>IF('Production Inventory'!$C24="","",'Production Inventory'!$C24&amp;"")</f>
        <v/>
      </c>
      <c r="D33" s="4" t="str">
        <f>IF('Production Inventory'!$C24="","",'Production Inventory'!$D24&amp;"")</f>
        <v/>
      </c>
      <c r="E33" s="4" t="str">
        <f>IF('Production Inventory'!$C24="","",'Production Inventory'!$E24&amp;"")</f>
        <v/>
      </c>
      <c r="F33" s="4" t="str">
        <f>IF('Production Inventory'!$C24="","",'Production Inventory'!$F24&amp;"")</f>
        <v/>
      </c>
      <c r="G33" s="28" t="str">
        <f>IF('Production Inventory'!$C24="","",'Production Inventory'!$I24&amp;"")</f>
        <v/>
      </c>
      <c r="H33" s="28" t="str">
        <f>IF('Production Inventory'!$C24="","",'Production Inventory'!$K24&amp;"")</f>
        <v/>
      </c>
      <c r="I33" s="28" t="str">
        <f>IF('Production Inventory'!$C24="","",'Production Inventory'!$M24&amp;"")</f>
        <v/>
      </c>
      <c r="J33" s="17" t="str">
        <f>IF('Production Inventory'!$O24="","",HYPERLINK('Production Inventory'!$O24,"Jira"))</f>
        <v/>
      </c>
      <c r="K33" s="17" t="str">
        <f>IF('Production Inventory'!$P24="","",HYPERLINK('Production Inventory'!$P24,"ClickUp"))</f>
        <v/>
      </c>
      <c r="L33" s="17" t="str">
        <f>IF('Production Inventory'!$Q24="","",HYPERLINK('Production Inventory'!$Q24,"Bluecore"))</f>
        <v/>
      </c>
    </row>
    <row r="34" spans="1:12" ht="24" customHeight="1">
      <c r="A34" s="23" t="str">
        <f>IF('Production Inventory'!$C25="","",'Production Inventory'!$A25)</f>
        <v/>
      </c>
      <c r="B34" s="5" t="str">
        <f>IF('Production Inventory'!$C25="","",'Production Inventory'!$B25&amp;"")</f>
        <v/>
      </c>
      <c r="C34" s="4" t="str">
        <f>IF('Production Inventory'!$C25="","",'Production Inventory'!$C25&amp;"")</f>
        <v/>
      </c>
      <c r="D34" s="4" t="str">
        <f>IF('Production Inventory'!$C25="","",'Production Inventory'!$D25&amp;"")</f>
        <v/>
      </c>
      <c r="E34" s="4" t="str">
        <f>IF('Production Inventory'!$C25="","",'Production Inventory'!$E25&amp;"")</f>
        <v/>
      </c>
      <c r="F34" s="4" t="str">
        <f>IF('Production Inventory'!$C25="","",'Production Inventory'!$F25&amp;"")</f>
        <v/>
      </c>
      <c r="G34" s="28" t="str">
        <f>IF('Production Inventory'!$C25="","",'Production Inventory'!$I25&amp;"")</f>
        <v/>
      </c>
      <c r="H34" s="28" t="str">
        <f>IF('Production Inventory'!$C25="","",'Production Inventory'!$K25&amp;"")</f>
        <v/>
      </c>
      <c r="I34" s="28" t="str">
        <f>IF('Production Inventory'!$C25="","",'Production Inventory'!$M25&amp;"")</f>
        <v/>
      </c>
      <c r="J34" s="17" t="str">
        <f>IF('Production Inventory'!$O25="","",HYPERLINK('Production Inventory'!$O25,"Jira"))</f>
        <v/>
      </c>
      <c r="K34" s="17" t="str">
        <f>IF('Production Inventory'!$P25="","",HYPERLINK('Production Inventory'!$P25,"ClickUp"))</f>
        <v/>
      </c>
      <c r="L34" s="17" t="str">
        <f>IF('Production Inventory'!$Q25="","",HYPERLINK('Production Inventory'!$Q25,"Bluecore"))</f>
        <v/>
      </c>
    </row>
    <row r="35" spans="1:12" ht="24" customHeight="1">
      <c r="A35" s="23" t="str">
        <f>IF('Production Inventory'!$C26="","",'Production Inventory'!$A26)</f>
        <v/>
      </c>
      <c r="B35" s="5" t="str">
        <f>IF('Production Inventory'!$C26="","",'Production Inventory'!$B26&amp;"")</f>
        <v/>
      </c>
      <c r="C35" s="4" t="str">
        <f>IF('Production Inventory'!$C26="","",'Production Inventory'!$C26&amp;"")</f>
        <v/>
      </c>
      <c r="D35" s="4" t="str">
        <f>IF('Production Inventory'!$C26="","",'Production Inventory'!$D26&amp;"")</f>
        <v/>
      </c>
      <c r="E35" s="4" t="str">
        <f>IF('Production Inventory'!$C26="","",'Production Inventory'!$E26&amp;"")</f>
        <v/>
      </c>
      <c r="F35" s="4" t="str">
        <f>IF('Production Inventory'!$C26="","",'Production Inventory'!$F26&amp;"")</f>
        <v/>
      </c>
      <c r="G35" s="28" t="str">
        <f>IF('Production Inventory'!$C26="","",'Production Inventory'!$I26&amp;"")</f>
        <v/>
      </c>
      <c r="H35" s="28" t="str">
        <f>IF('Production Inventory'!$C26="","",'Production Inventory'!$K26&amp;"")</f>
        <v/>
      </c>
      <c r="I35" s="28" t="str">
        <f>IF('Production Inventory'!$C26="","",'Production Inventory'!$M26&amp;"")</f>
        <v/>
      </c>
      <c r="J35" s="17" t="str">
        <f>IF('Production Inventory'!$O26="","",HYPERLINK('Production Inventory'!$O26,"Jira"))</f>
        <v/>
      </c>
      <c r="K35" s="17" t="str">
        <f>IF('Production Inventory'!$P26="","",HYPERLINK('Production Inventory'!$P26,"ClickUp"))</f>
        <v/>
      </c>
      <c r="L35" s="17" t="str">
        <f>IF('Production Inventory'!$Q26="","",HYPERLINK('Production Inventory'!$Q26,"Bluecore"))</f>
        <v/>
      </c>
    </row>
    <row r="36" spans="1:12" ht="24" customHeight="1">
      <c r="A36" s="23" t="str">
        <f>IF('Production Inventory'!$C27="","",'Production Inventory'!$A27)</f>
        <v/>
      </c>
      <c r="B36" s="5" t="str">
        <f>IF('Production Inventory'!$C27="","",'Production Inventory'!$B27&amp;"")</f>
        <v/>
      </c>
      <c r="C36" s="4" t="str">
        <f>IF('Production Inventory'!$C27="","",'Production Inventory'!$C27&amp;"")</f>
        <v/>
      </c>
      <c r="D36" s="4" t="str">
        <f>IF('Production Inventory'!$C27="","",'Production Inventory'!$D27&amp;"")</f>
        <v/>
      </c>
      <c r="E36" s="4" t="str">
        <f>IF('Production Inventory'!$C27="","",'Production Inventory'!$E27&amp;"")</f>
        <v/>
      </c>
      <c r="F36" s="4" t="str">
        <f>IF('Production Inventory'!$C27="","",'Production Inventory'!$F27&amp;"")</f>
        <v/>
      </c>
      <c r="G36" s="28" t="str">
        <f>IF('Production Inventory'!$C27="","",'Production Inventory'!$I27&amp;"")</f>
        <v/>
      </c>
      <c r="H36" s="28" t="str">
        <f>IF('Production Inventory'!$C27="","",'Production Inventory'!$K27&amp;"")</f>
        <v/>
      </c>
      <c r="I36" s="28" t="str">
        <f>IF('Production Inventory'!$C27="","",'Production Inventory'!$M27&amp;"")</f>
        <v/>
      </c>
      <c r="J36" s="17" t="str">
        <f>IF('Production Inventory'!$O27="","",HYPERLINK('Production Inventory'!$O27,"Jira"))</f>
        <v/>
      </c>
      <c r="K36" s="17" t="str">
        <f>IF('Production Inventory'!$P27="","",HYPERLINK('Production Inventory'!$P27,"ClickUp"))</f>
        <v/>
      </c>
      <c r="L36" s="17" t="str">
        <f>IF('Production Inventory'!$Q27="","",HYPERLINK('Production Inventory'!$Q27,"Bluecore"))</f>
        <v/>
      </c>
    </row>
    <row r="37" spans="1:12" ht="24" customHeight="1">
      <c r="A37" s="23" t="str">
        <f>IF('Production Inventory'!$C28="","",'Production Inventory'!$A28)</f>
        <v/>
      </c>
      <c r="B37" s="5" t="str">
        <f>IF('Production Inventory'!$C28="","",'Production Inventory'!$B28&amp;"")</f>
        <v/>
      </c>
      <c r="C37" s="4" t="str">
        <f>IF('Production Inventory'!$C28="","",'Production Inventory'!$C28&amp;"")</f>
        <v/>
      </c>
      <c r="D37" s="4" t="str">
        <f>IF('Production Inventory'!$C28="","",'Production Inventory'!$D28&amp;"")</f>
        <v/>
      </c>
      <c r="E37" s="4" t="str">
        <f>IF('Production Inventory'!$C28="","",'Production Inventory'!$E28&amp;"")</f>
        <v/>
      </c>
      <c r="F37" s="4" t="str">
        <f>IF('Production Inventory'!$C28="","",'Production Inventory'!$F28&amp;"")</f>
        <v/>
      </c>
      <c r="G37" s="28" t="str">
        <f>IF('Production Inventory'!$C28="","",'Production Inventory'!$I28&amp;"")</f>
        <v/>
      </c>
      <c r="H37" s="28" t="str">
        <f>IF('Production Inventory'!$C28="","",'Production Inventory'!$K28&amp;"")</f>
        <v/>
      </c>
      <c r="I37" s="28" t="str">
        <f>IF('Production Inventory'!$C28="","",'Production Inventory'!$M28&amp;"")</f>
        <v/>
      </c>
      <c r="J37" s="17" t="str">
        <f>IF('Production Inventory'!$O28="","",HYPERLINK('Production Inventory'!$O28,"Jira"))</f>
        <v/>
      </c>
      <c r="K37" s="17" t="str">
        <f>IF('Production Inventory'!$P28="","",HYPERLINK('Production Inventory'!$P28,"ClickUp"))</f>
        <v/>
      </c>
      <c r="L37" s="17" t="str">
        <f>IF('Production Inventory'!$Q28="","",HYPERLINK('Production Inventory'!$Q28,"Bluecore"))</f>
        <v/>
      </c>
    </row>
    <row r="38" spans="1:12" ht="24" customHeight="1">
      <c r="A38" s="23" t="str">
        <f>IF('Production Inventory'!$C29="","",'Production Inventory'!$A29)</f>
        <v/>
      </c>
      <c r="B38" s="5" t="str">
        <f>IF('Production Inventory'!$C29="","",'Production Inventory'!$B29&amp;"")</f>
        <v/>
      </c>
      <c r="C38" s="4" t="str">
        <f>IF('Production Inventory'!$C29="","",'Production Inventory'!$C29&amp;"")</f>
        <v/>
      </c>
      <c r="D38" s="4" t="str">
        <f>IF('Production Inventory'!$C29="","",'Production Inventory'!$D29&amp;"")</f>
        <v/>
      </c>
      <c r="E38" s="4" t="str">
        <f>IF('Production Inventory'!$C29="","",'Production Inventory'!$E29&amp;"")</f>
        <v/>
      </c>
      <c r="F38" s="4" t="str">
        <f>IF('Production Inventory'!$C29="","",'Production Inventory'!$F29&amp;"")</f>
        <v/>
      </c>
      <c r="G38" s="28" t="str">
        <f>IF('Production Inventory'!$C29="","",'Production Inventory'!$I29&amp;"")</f>
        <v/>
      </c>
      <c r="H38" s="28" t="str">
        <f>IF('Production Inventory'!$C29="","",'Production Inventory'!$K29&amp;"")</f>
        <v/>
      </c>
      <c r="I38" s="28" t="str">
        <f>IF('Production Inventory'!$C29="","",'Production Inventory'!$M29&amp;"")</f>
        <v/>
      </c>
      <c r="J38" s="17" t="str">
        <f>IF('Production Inventory'!$O29="","",HYPERLINK('Production Inventory'!$O29,"Jira"))</f>
        <v/>
      </c>
      <c r="K38" s="17" t="str">
        <f>IF('Production Inventory'!$P29="","",HYPERLINK('Production Inventory'!$P29,"ClickUp"))</f>
        <v/>
      </c>
      <c r="L38" s="17" t="str">
        <f>IF('Production Inventory'!$Q29="","",HYPERLINK('Production Inventory'!$Q29,"Bluecore"))</f>
        <v/>
      </c>
    </row>
    <row r="39" spans="1:12" ht="24" customHeight="1">
      <c r="A39" s="23" t="str">
        <f>IF('Production Inventory'!$C30="","",'Production Inventory'!$A30)</f>
        <v/>
      </c>
      <c r="B39" s="5" t="str">
        <f>IF('Production Inventory'!$C30="","",'Production Inventory'!$B30&amp;"")</f>
        <v/>
      </c>
      <c r="C39" s="4" t="str">
        <f>IF('Production Inventory'!$C30="","",'Production Inventory'!$C30&amp;"")</f>
        <v/>
      </c>
      <c r="D39" s="4" t="str">
        <f>IF('Production Inventory'!$C30="","",'Production Inventory'!$D30&amp;"")</f>
        <v/>
      </c>
      <c r="E39" s="4" t="str">
        <f>IF('Production Inventory'!$C30="","",'Production Inventory'!$E30&amp;"")</f>
        <v/>
      </c>
      <c r="F39" s="4" t="str">
        <f>IF('Production Inventory'!$C30="","",'Production Inventory'!$F30&amp;"")</f>
        <v/>
      </c>
      <c r="G39" s="28" t="str">
        <f>IF('Production Inventory'!$C30="","",'Production Inventory'!$I30&amp;"")</f>
        <v/>
      </c>
      <c r="H39" s="28" t="str">
        <f>IF('Production Inventory'!$C30="","",'Production Inventory'!$K30&amp;"")</f>
        <v/>
      </c>
      <c r="I39" s="28" t="str">
        <f>IF('Production Inventory'!$C30="","",'Production Inventory'!$M30&amp;"")</f>
        <v/>
      </c>
      <c r="J39" s="17" t="str">
        <f>IF('Production Inventory'!$O30="","",HYPERLINK('Production Inventory'!$O30,"Jira"))</f>
        <v/>
      </c>
      <c r="K39" s="17" t="str">
        <f>IF('Production Inventory'!$P30="","",HYPERLINK('Production Inventory'!$P30,"ClickUp"))</f>
        <v/>
      </c>
      <c r="L39" s="17" t="str">
        <f>IF('Production Inventory'!$Q30="","",HYPERLINK('Production Inventory'!$Q30,"Bluecore"))</f>
        <v/>
      </c>
    </row>
    <row r="40" spans="1:12" ht="24" customHeight="1">
      <c r="A40" s="23" t="str">
        <f>IF('Production Inventory'!$C31="","",'Production Inventory'!$A31)</f>
        <v/>
      </c>
      <c r="B40" s="5" t="str">
        <f>IF('Production Inventory'!$C31="","",'Production Inventory'!$B31&amp;"")</f>
        <v/>
      </c>
      <c r="C40" s="4" t="str">
        <f>IF('Production Inventory'!$C31="","",'Production Inventory'!$C31&amp;"")</f>
        <v/>
      </c>
      <c r="D40" s="4" t="str">
        <f>IF('Production Inventory'!$C31="","",'Production Inventory'!$D31&amp;"")</f>
        <v/>
      </c>
      <c r="E40" s="4" t="str">
        <f>IF('Production Inventory'!$C31="","",'Production Inventory'!$E31&amp;"")</f>
        <v/>
      </c>
      <c r="F40" s="4" t="str">
        <f>IF('Production Inventory'!$C31="","",'Production Inventory'!$F31&amp;"")</f>
        <v/>
      </c>
      <c r="G40" s="28" t="str">
        <f>IF('Production Inventory'!$C31="","",'Production Inventory'!$I31&amp;"")</f>
        <v/>
      </c>
      <c r="H40" s="28" t="str">
        <f>IF('Production Inventory'!$C31="","",'Production Inventory'!$K31&amp;"")</f>
        <v/>
      </c>
      <c r="I40" s="28" t="str">
        <f>IF('Production Inventory'!$C31="","",'Production Inventory'!$M31&amp;"")</f>
        <v/>
      </c>
      <c r="J40" s="17" t="str">
        <f>IF('Production Inventory'!$O31="","",HYPERLINK('Production Inventory'!$O31,"Jira"))</f>
        <v/>
      </c>
      <c r="K40" s="17" t="str">
        <f>IF('Production Inventory'!$P31="","",HYPERLINK('Production Inventory'!$P31,"ClickUp"))</f>
        <v/>
      </c>
      <c r="L40" s="17" t="str">
        <f>IF('Production Inventory'!$Q31="","",HYPERLINK('Production Inventory'!$Q31,"Bluecore"))</f>
        <v/>
      </c>
    </row>
    <row r="41" spans="1:12" ht="24" customHeight="1">
      <c r="A41" s="23" t="str">
        <f>IF('Production Inventory'!$C32="","",'Production Inventory'!$A32)</f>
        <v/>
      </c>
      <c r="B41" s="5" t="str">
        <f>IF('Production Inventory'!$C32="","",'Production Inventory'!$B32&amp;"")</f>
        <v/>
      </c>
      <c r="C41" s="4" t="str">
        <f>IF('Production Inventory'!$C32="","",'Production Inventory'!$C32&amp;"")</f>
        <v/>
      </c>
      <c r="D41" s="4" t="str">
        <f>IF('Production Inventory'!$C32="","",'Production Inventory'!$D32&amp;"")</f>
        <v/>
      </c>
      <c r="E41" s="4" t="str">
        <f>IF('Production Inventory'!$C32="","",'Production Inventory'!$E32&amp;"")</f>
        <v/>
      </c>
      <c r="F41" s="4" t="str">
        <f>IF('Production Inventory'!$C32="","",'Production Inventory'!$F32&amp;"")</f>
        <v/>
      </c>
      <c r="G41" s="28" t="str">
        <f>IF('Production Inventory'!$C32="","",'Production Inventory'!$I32&amp;"")</f>
        <v/>
      </c>
      <c r="H41" s="28" t="str">
        <f>IF('Production Inventory'!$C32="","",'Production Inventory'!$K32&amp;"")</f>
        <v/>
      </c>
      <c r="I41" s="28" t="str">
        <f>IF('Production Inventory'!$C32="","",'Production Inventory'!$M32&amp;"")</f>
        <v/>
      </c>
      <c r="J41" s="17" t="str">
        <f>IF('Production Inventory'!$O32="","",HYPERLINK('Production Inventory'!$O32,"Jira"))</f>
        <v/>
      </c>
      <c r="K41" s="17" t="str">
        <f>IF('Production Inventory'!$P32="","",HYPERLINK('Production Inventory'!$P32,"ClickUp"))</f>
        <v/>
      </c>
      <c r="L41" s="17" t="str">
        <f>IF('Production Inventory'!$Q32="","",HYPERLINK('Production Inventory'!$Q32,"Bluecore"))</f>
        <v/>
      </c>
    </row>
    <row r="42" spans="1:12" ht="24" customHeight="1">
      <c r="A42" s="23" t="str">
        <f>IF('Production Inventory'!$C33="","",'Production Inventory'!$A33)</f>
        <v/>
      </c>
      <c r="B42" s="5" t="str">
        <f>IF('Production Inventory'!$C33="","",'Production Inventory'!$B33&amp;"")</f>
        <v/>
      </c>
      <c r="C42" s="4" t="str">
        <f>IF('Production Inventory'!$C33="","",'Production Inventory'!$C33&amp;"")</f>
        <v/>
      </c>
      <c r="D42" s="4" t="str">
        <f>IF('Production Inventory'!$C33="","",'Production Inventory'!$D33&amp;"")</f>
        <v/>
      </c>
      <c r="E42" s="4" t="str">
        <f>IF('Production Inventory'!$C33="","",'Production Inventory'!$E33&amp;"")</f>
        <v/>
      </c>
      <c r="F42" s="4" t="str">
        <f>IF('Production Inventory'!$C33="","",'Production Inventory'!$F33&amp;"")</f>
        <v/>
      </c>
      <c r="G42" s="28" t="str">
        <f>IF('Production Inventory'!$C33="","",'Production Inventory'!$I33&amp;"")</f>
        <v/>
      </c>
      <c r="H42" s="28" t="str">
        <f>IF('Production Inventory'!$C33="","",'Production Inventory'!$K33&amp;"")</f>
        <v/>
      </c>
      <c r="I42" s="28" t="str">
        <f>IF('Production Inventory'!$C33="","",'Production Inventory'!$M33&amp;"")</f>
        <v/>
      </c>
      <c r="J42" s="17" t="str">
        <f>IF('Production Inventory'!$O33="","",HYPERLINK('Production Inventory'!$O33,"Jira"))</f>
        <v/>
      </c>
      <c r="K42" s="17" t="str">
        <f>IF('Production Inventory'!$P33="","",HYPERLINK('Production Inventory'!$P33,"ClickUp"))</f>
        <v/>
      </c>
      <c r="L42" s="17" t="str">
        <f>IF('Production Inventory'!$Q33="","",HYPERLINK('Production Inventory'!$Q33,"Bluecore"))</f>
        <v/>
      </c>
    </row>
    <row r="43" spans="1:12" ht="24" customHeight="1">
      <c r="A43" s="23" t="str">
        <f>IF('Production Inventory'!$C34="","",'Production Inventory'!$A34)</f>
        <v/>
      </c>
      <c r="B43" s="5" t="str">
        <f>IF('Production Inventory'!$C34="","",'Production Inventory'!$B34&amp;"")</f>
        <v/>
      </c>
      <c r="C43" s="4" t="str">
        <f>IF('Production Inventory'!$C34="","",'Production Inventory'!$C34&amp;"")</f>
        <v/>
      </c>
      <c r="D43" s="4" t="str">
        <f>IF('Production Inventory'!$C34="","",'Production Inventory'!$D34&amp;"")</f>
        <v/>
      </c>
      <c r="E43" s="4" t="str">
        <f>IF('Production Inventory'!$C34="","",'Production Inventory'!$E34&amp;"")</f>
        <v/>
      </c>
      <c r="F43" s="4" t="str">
        <f>IF('Production Inventory'!$C34="","",'Production Inventory'!$F34&amp;"")</f>
        <v/>
      </c>
      <c r="G43" s="28" t="str">
        <f>IF('Production Inventory'!$C34="","",'Production Inventory'!$I34&amp;"")</f>
        <v/>
      </c>
      <c r="H43" s="28" t="str">
        <f>IF('Production Inventory'!$C34="","",'Production Inventory'!$K34&amp;"")</f>
        <v/>
      </c>
      <c r="I43" s="28" t="str">
        <f>IF('Production Inventory'!$C34="","",'Production Inventory'!$M34&amp;"")</f>
        <v/>
      </c>
      <c r="J43" s="17" t="str">
        <f>IF('Production Inventory'!$O34="","",HYPERLINK('Production Inventory'!$O34,"Jira"))</f>
        <v/>
      </c>
      <c r="K43" s="17" t="str">
        <f>IF('Production Inventory'!$P34="","",HYPERLINK('Production Inventory'!$P34,"ClickUp"))</f>
        <v/>
      </c>
      <c r="L43" s="17" t="str">
        <f>IF('Production Inventory'!$Q34="","",HYPERLINK('Production Inventory'!$Q34,"Bluecore"))</f>
        <v/>
      </c>
    </row>
    <row r="44" spans="1:12" ht="24" customHeight="1">
      <c r="A44" s="23" t="str">
        <f>IF('Production Inventory'!$C35="","",'Production Inventory'!$A35)</f>
        <v/>
      </c>
      <c r="B44" s="5" t="str">
        <f>IF('Production Inventory'!$C35="","",'Production Inventory'!$B35&amp;"")</f>
        <v/>
      </c>
      <c r="C44" s="4" t="str">
        <f>IF('Production Inventory'!$C35="","",'Production Inventory'!$C35&amp;"")</f>
        <v/>
      </c>
      <c r="D44" s="4" t="str">
        <f>IF('Production Inventory'!$C35="","",'Production Inventory'!$D35&amp;"")</f>
        <v/>
      </c>
      <c r="E44" s="4" t="str">
        <f>IF('Production Inventory'!$C35="","",'Production Inventory'!$E35&amp;"")</f>
        <v/>
      </c>
      <c r="F44" s="4" t="str">
        <f>IF('Production Inventory'!$C35="","",'Production Inventory'!$F35&amp;"")</f>
        <v/>
      </c>
      <c r="G44" s="28" t="str">
        <f>IF('Production Inventory'!$C35="","",'Production Inventory'!$I35&amp;"")</f>
        <v/>
      </c>
      <c r="H44" s="28" t="str">
        <f>IF('Production Inventory'!$C35="","",'Production Inventory'!$K35&amp;"")</f>
        <v/>
      </c>
      <c r="I44" s="28" t="str">
        <f>IF('Production Inventory'!$C35="","",'Production Inventory'!$M35&amp;"")</f>
        <v/>
      </c>
      <c r="J44" s="17" t="str">
        <f>IF('Production Inventory'!$O35="","",HYPERLINK('Production Inventory'!$O35,"Jira"))</f>
        <v/>
      </c>
      <c r="K44" s="17" t="str">
        <f>IF('Production Inventory'!$P35="","",HYPERLINK('Production Inventory'!$P35,"ClickUp"))</f>
        <v/>
      </c>
      <c r="L44" s="17" t="str">
        <f>IF('Production Inventory'!$Q35="","",HYPERLINK('Production Inventory'!$Q35,"Bluecore"))</f>
        <v/>
      </c>
    </row>
    <row r="45" spans="1:12" ht="24" customHeight="1">
      <c r="A45" s="23" t="str">
        <f>IF('Production Inventory'!$C36="","",'Production Inventory'!$A36)</f>
        <v/>
      </c>
      <c r="B45" s="5" t="str">
        <f>IF('Production Inventory'!$C36="","",'Production Inventory'!$B36&amp;"")</f>
        <v/>
      </c>
      <c r="C45" s="4" t="str">
        <f>IF('Production Inventory'!$C36="","",'Production Inventory'!$C36&amp;"")</f>
        <v/>
      </c>
      <c r="D45" s="4" t="str">
        <f>IF('Production Inventory'!$C36="","",'Production Inventory'!$D36&amp;"")</f>
        <v/>
      </c>
      <c r="E45" s="4" t="str">
        <f>IF('Production Inventory'!$C36="","",'Production Inventory'!$E36&amp;"")</f>
        <v/>
      </c>
      <c r="F45" s="4" t="str">
        <f>IF('Production Inventory'!$C36="","",'Production Inventory'!$F36&amp;"")</f>
        <v/>
      </c>
      <c r="G45" s="28" t="str">
        <f>IF('Production Inventory'!$C36="","",'Production Inventory'!$I36&amp;"")</f>
        <v/>
      </c>
      <c r="H45" s="28" t="str">
        <f>IF('Production Inventory'!$C36="","",'Production Inventory'!$K36&amp;"")</f>
        <v/>
      </c>
      <c r="I45" s="28" t="str">
        <f>IF('Production Inventory'!$C36="","",'Production Inventory'!$M36&amp;"")</f>
        <v/>
      </c>
      <c r="J45" s="17" t="str">
        <f>IF('Production Inventory'!$O36="","",HYPERLINK('Production Inventory'!$O36,"Jira"))</f>
        <v/>
      </c>
      <c r="K45" s="17" t="str">
        <f>IF('Production Inventory'!$P36="","",HYPERLINK('Production Inventory'!$P36,"ClickUp"))</f>
        <v/>
      </c>
      <c r="L45" s="17" t="str">
        <f>IF('Production Inventory'!$Q36="","",HYPERLINK('Production Inventory'!$Q36,"Bluecore"))</f>
        <v/>
      </c>
    </row>
    <row r="46" spans="1:12" ht="24" customHeight="1">
      <c r="A46" s="23" t="str">
        <f>IF('Production Inventory'!$C37="","",'Production Inventory'!$A37)</f>
        <v/>
      </c>
      <c r="B46" s="5" t="str">
        <f>IF('Production Inventory'!$C37="","",'Production Inventory'!$B37&amp;"")</f>
        <v/>
      </c>
      <c r="C46" s="4" t="str">
        <f>IF('Production Inventory'!$C37="","",'Production Inventory'!$C37&amp;"")</f>
        <v/>
      </c>
      <c r="D46" s="4" t="str">
        <f>IF('Production Inventory'!$C37="","",'Production Inventory'!$D37&amp;"")</f>
        <v/>
      </c>
      <c r="E46" s="4" t="str">
        <f>IF('Production Inventory'!$C37="","",'Production Inventory'!$E37&amp;"")</f>
        <v/>
      </c>
      <c r="F46" s="4" t="str">
        <f>IF('Production Inventory'!$C37="","",'Production Inventory'!$F37&amp;"")</f>
        <v/>
      </c>
      <c r="G46" s="28" t="str">
        <f>IF('Production Inventory'!$C37="","",'Production Inventory'!$I37&amp;"")</f>
        <v/>
      </c>
      <c r="H46" s="28" t="str">
        <f>IF('Production Inventory'!$C37="","",'Production Inventory'!$K37&amp;"")</f>
        <v/>
      </c>
      <c r="I46" s="28" t="str">
        <f>IF('Production Inventory'!$C37="","",'Production Inventory'!$M37&amp;"")</f>
        <v/>
      </c>
      <c r="J46" s="17" t="str">
        <f>IF('Production Inventory'!$O37="","",HYPERLINK('Production Inventory'!$O37,"Jira"))</f>
        <v/>
      </c>
      <c r="K46" s="17" t="str">
        <f>IF('Production Inventory'!$P37="","",HYPERLINK('Production Inventory'!$P37,"ClickUp"))</f>
        <v/>
      </c>
      <c r="L46" s="17" t="str">
        <f>IF('Production Inventory'!$Q37="","",HYPERLINK('Production Inventory'!$Q37,"Bluecore"))</f>
        <v/>
      </c>
    </row>
    <row r="47" spans="1:12" ht="24" customHeight="1">
      <c r="A47" s="23" t="str">
        <f>IF('Production Inventory'!$C38="","",'Production Inventory'!$A38)</f>
        <v/>
      </c>
      <c r="B47" s="5" t="str">
        <f>IF('Production Inventory'!$C38="","",'Production Inventory'!$B38&amp;"")</f>
        <v/>
      </c>
      <c r="C47" s="4" t="str">
        <f>IF('Production Inventory'!$C38="","",'Production Inventory'!$C38&amp;"")</f>
        <v/>
      </c>
      <c r="D47" s="4" t="str">
        <f>IF('Production Inventory'!$C38="","",'Production Inventory'!$D38&amp;"")</f>
        <v/>
      </c>
      <c r="E47" s="4" t="str">
        <f>IF('Production Inventory'!$C38="","",'Production Inventory'!$E38&amp;"")</f>
        <v/>
      </c>
      <c r="F47" s="4" t="str">
        <f>IF('Production Inventory'!$C38="","",'Production Inventory'!$F38&amp;"")</f>
        <v/>
      </c>
      <c r="G47" s="28" t="str">
        <f>IF('Production Inventory'!$C38="","",'Production Inventory'!$I38&amp;"")</f>
        <v/>
      </c>
      <c r="H47" s="28" t="str">
        <f>IF('Production Inventory'!$C38="","",'Production Inventory'!$K38&amp;"")</f>
        <v/>
      </c>
      <c r="I47" s="28" t="str">
        <f>IF('Production Inventory'!$C38="","",'Production Inventory'!$M38&amp;"")</f>
        <v/>
      </c>
      <c r="J47" s="17" t="str">
        <f>IF('Production Inventory'!$O38="","",HYPERLINK('Production Inventory'!$O38,"Jira"))</f>
        <v/>
      </c>
      <c r="K47" s="17" t="str">
        <f>IF('Production Inventory'!$P38="","",HYPERLINK('Production Inventory'!$P38,"ClickUp"))</f>
        <v/>
      </c>
      <c r="L47" s="17" t="str">
        <f>IF('Production Inventory'!$Q38="","",HYPERLINK('Production Inventory'!$Q38,"Bluecore"))</f>
        <v/>
      </c>
    </row>
    <row r="48" spans="1:12" ht="24" customHeight="1">
      <c r="A48" s="23" t="str">
        <f>IF('Production Inventory'!$C39="","",'Production Inventory'!$A39)</f>
        <v/>
      </c>
      <c r="B48" s="5" t="str">
        <f>IF('Production Inventory'!$C39="","",'Production Inventory'!$B39&amp;"")</f>
        <v/>
      </c>
      <c r="C48" s="4" t="str">
        <f>IF('Production Inventory'!$C39="","",'Production Inventory'!$C39&amp;"")</f>
        <v/>
      </c>
      <c r="D48" s="4" t="str">
        <f>IF('Production Inventory'!$C39="","",'Production Inventory'!$D39&amp;"")</f>
        <v/>
      </c>
      <c r="E48" s="4" t="str">
        <f>IF('Production Inventory'!$C39="","",'Production Inventory'!$E39&amp;"")</f>
        <v/>
      </c>
      <c r="F48" s="4" t="str">
        <f>IF('Production Inventory'!$C39="","",'Production Inventory'!$F39&amp;"")</f>
        <v/>
      </c>
      <c r="G48" s="28" t="str">
        <f>IF('Production Inventory'!$C39="","",'Production Inventory'!$I39&amp;"")</f>
        <v/>
      </c>
      <c r="H48" s="28" t="str">
        <f>IF('Production Inventory'!$C39="","",'Production Inventory'!$K39&amp;"")</f>
        <v/>
      </c>
      <c r="I48" s="28" t="str">
        <f>IF('Production Inventory'!$C39="","",'Production Inventory'!$M39&amp;"")</f>
        <v/>
      </c>
      <c r="J48" s="17" t="str">
        <f>IF('Production Inventory'!$O39="","",HYPERLINK('Production Inventory'!$O39,"Jira"))</f>
        <v/>
      </c>
      <c r="K48" s="17" t="str">
        <f>IF('Production Inventory'!$P39="","",HYPERLINK('Production Inventory'!$P39,"ClickUp"))</f>
        <v/>
      </c>
      <c r="L48" s="17" t="str">
        <f>IF('Production Inventory'!$Q39="","",HYPERLINK('Production Inventory'!$Q39,"Bluecore"))</f>
        <v/>
      </c>
    </row>
    <row r="49" spans="1:12" ht="24" customHeight="1">
      <c r="A49" s="23" t="str">
        <f>IF('Production Inventory'!$C40="","",'Production Inventory'!$A40)</f>
        <v/>
      </c>
      <c r="B49" s="5" t="str">
        <f>IF('Production Inventory'!$C40="","",'Production Inventory'!$B40&amp;"")</f>
        <v/>
      </c>
      <c r="C49" s="4" t="str">
        <f>IF('Production Inventory'!$C40="","",'Production Inventory'!$C40&amp;"")</f>
        <v/>
      </c>
      <c r="D49" s="4" t="str">
        <f>IF('Production Inventory'!$C40="","",'Production Inventory'!$D40&amp;"")</f>
        <v/>
      </c>
      <c r="E49" s="4" t="str">
        <f>IF('Production Inventory'!$C40="","",'Production Inventory'!$E40&amp;"")</f>
        <v/>
      </c>
      <c r="F49" s="4" t="str">
        <f>IF('Production Inventory'!$C40="","",'Production Inventory'!$F40&amp;"")</f>
        <v/>
      </c>
      <c r="G49" s="28" t="str">
        <f>IF('Production Inventory'!$C40="","",'Production Inventory'!$I40&amp;"")</f>
        <v/>
      </c>
      <c r="H49" s="28" t="str">
        <f>IF('Production Inventory'!$C40="","",'Production Inventory'!$K40&amp;"")</f>
        <v/>
      </c>
      <c r="I49" s="28" t="str">
        <f>IF('Production Inventory'!$C40="","",'Production Inventory'!$M40&amp;"")</f>
        <v/>
      </c>
      <c r="J49" s="17" t="str">
        <f>IF('Production Inventory'!$O40="","",HYPERLINK('Production Inventory'!$O40,"Jira"))</f>
        <v/>
      </c>
      <c r="K49" s="17" t="str">
        <f>IF('Production Inventory'!$P40="","",HYPERLINK('Production Inventory'!$P40,"ClickUp"))</f>
        <v/>
      </c>
      <c r="L49" s="17" t="str">
        <f>IF('Production Inventory'!$Q40="","",HYPERLINK('Production Inventory'!$Q40,"Bluecore"))</f>
        <v/>
      </c>
    </row>
    <row r="50" spans="1:12" ht="24" customHeight="1">
      <c r="A50" s="23" t="str">
        <f>IF('Production Inventory'!$C41="","",'Production Inventory'!$A41)</f>
        <v/>
      </c>
      <c r="B50" s="5" t="str">
        <f>IF('Production Inventory'!$C41="","",'Production Inventory'!$B41&amp;"")</f>
        <v/>
      </c>
      <c r="C50" s="4" t="str">
        <f>IF('Production Inventory'!$C41="","",'Production Inventory'!$C41&amp;"")</f>
        <v/>
      </c>
      <c r="D50" s="4" t="str">
        <f>IF('Production Inventory'!$C41="","",'Production Inventory'!$D41&amp;"")</f>
        <v/>
      </c>
      <c r="E50" s="4" t="str">
        <f>IF('Production Inventory'!$C41="","",'Production Inventory'!$E41&amp;"")</f>
        <v/>
      </c>
      <c r="F50" s="4" t="str">
        <f>IF('Production Inventory'!$C41="","",'Production Inventory'!$F41&amp;"")</f>
        <v/>
      </c>
      <c r="G50" s="28" t="str">
        <f>IF('Production Inventory'!$C41="","",'Production Inventory'!$I41&amp;"")</f>
        <v/>
      </c>
      <c r="H50" s="28" t="str">
        <f>IF('Production Inventory'!$C41="","",'Production Inventory'!$K41&amp;"")</f>
        <v/>
      </c>
      <c r="I50" s="28" t="str">
        <f>IF('Production Inventory'!$C41="","",'Production Inventory'!$M41&amp;"")</f>
        <v/>
      </c>
      <c r="J50" s="17" t="str">
        <f>IF('Production Inventory'!$O41="","",HYPERLINK('Production Inventory'!$O41,"Jira"))</f>
        <v/>
      </c>
      <c r="K50" s="17" t="str">
        <f>IF('Production Inventory'!$P41="","",HYPERLINK('Production Inventory'!$P41,"ClickUp"))</f>
        <v/>
      </c>
      <c r="L50" s="17" t="str">
        <f>IF('Production Inventory'!$Q41="","",HYPERLINK('Production Inventory'!$Q41,"Bluecore"))</f>
        <v/>
      </c>
    </row>
    <row r="51" spans="1:12" ht="24" customHeight="1">
      <c r="A51" s="23" t="str">
        <f>IF('Production Inventory'!$C42="","",'Production Inventory'!$A42)</f>
        <v/>
      </c>
      <c r="B51" s="5" t="str">
        <f>IF('Production Inventory'!$C42="","",'Production Inventory'!$B42&amp;"")</f>
        <v/>
      </c>
      <c r="C51" s="4" t="str">
        <f>IF('Production Inventory'!$C42="","",'Production Inventory'!$C42&amp;"")</f>
        <v/>
      </c>
      <c r="D51" s="4" t="str">
        <f>IF('Production Inventory'!$C42="","",'Production Inventory'!$D42&amp;"")</f>
        <v/>
      </c>
      <c r="E51" s="4" t="str">
        <f>IF('Production Inventory'!$C42="","",'Production Inventory'!$E42&amp;"")</f>
        <v/>
      </c>
      <c r="F51" s="4" t="str">
        <f>IF('Production Inventory'!$C42="","",'Production Inventory'!$F42&amp;"")</f>
        <v/>
      </c>
      <c r="G51" s="28" t="str">
        <f>IF('Production Inventory'!$C42="","",'Production Inventory'!$I42&amp;"")</f>
        <v/>
      </c>
      <c r="H51" s="28" t="str">
        <f>IF('Production Inventory'!$C42="","",'Production Inventory'!$K42&amp;"")</f>
        <v/>
      </c>
      <c r="I51" s="28" t="str">
        <f>IF('Production Inventory'!$C42="","",'Production Inventory'!$M42&amp;"")</f>
        <v/>
      </c>
      <c r="J51" s="17" t="str">
        <f>IF('Production Inventory'!$O42="","",HYPERLINK('Production Inventory'!$O42,"Jira"))</f>
        <v/>
      </c>
      <c r="K51" s="17" t="str">
        <f>IF('Production Inventory'!$P42="","",HYPERLINK('Production Inventory'!$P42,"ClickUp"))</f>
        <v/>
      </c>
      <c r="L51" s="17" t="str">
        <f>IF('Production Inventory'!$Q42="","",HYPERLINK('Production Inventory'!$Q42,"Bluecore"))</f>
        <v/>
      </c>
    </row>
    <row r="52" spans="1:12" ht="24" customHeight="1">
      <c r="A52" s="23" t="str">
        <f>IF('Production Inventory'!$C43="","",'Production Inventory'!$A43)</f>
        <v/>
      </c>
      <c r="B52" s="5" t="str">
        <f>IF('Production Inventory'!$C43="","",'Production Inventory'!$B43&amp;"")</f>
        <v/>
      </c>
      <c r="C52" s="4" t="str">
        <f>IF('Production Inventory'!$C43="","",'Production Inventory'!$C43&amp;"")</f>
        <v/>
      </c>
      <c r="D52" s="4" t="str">
        <f>IF('Production Inventory'!$C43="","",'Production Inventory'!$D43&amp;"")</f>
        <v/>
      </c>
      <c r="E52" s="4" t="str">
        <f>IF('Production Inventory'!$C43="","",'Production Inventory'!$E43&amp;"")</f>
        <v/>
      </c>
      <c r="F52" s="4" t="str">
        <f>IF('Production Inventory'!$C43="","",'Production Inventory'!$F43&amp;"")</f>
        <v/>
      </c>
      <c r="G52" s="28" t="str">
        <f>IF('Production Inventory'!$C43="","",'Production Inventory'!$I43&amp;"")</f>
        <v/>
      </c>
      <c r="H52" s="28" t="str">
        <f>IF('Production Inventory'!$C43="","",'Production Inventory'!$K43&amp;"")</f>
        <v/>
      </c>
      <c r="I52" s="28" t="str">
        <f>IF('Production Inventory'!$C43="","",'Production Inventory'!$M43&amp;"")</f>
        <v/>
      </c>
      <c r="J52" s="17" t="str">
        <f>IF('Production Inventory'!$O43="","",HYPERLINK('Production Inventory'!$O43,"Jira"))</f>
        <v/>
      </c>
      <c r="K52" s="17" t="str">
        <f>IF('Production Inventory'!$P43="","",HYPERLINK('Production Inventory'!$P43,"ClickUp"))</f>
        <v/>
      </c>
      <c r="L52" s="17" t="str">
        <f>IF('Production Inventory'!$Q43="","",HYPERLINK('Production Inventory'!$Q43,"Bluecore"))</f>
        <v/>
      </c>
    </row>
    <row r="53" spans="1:12" ht="24" customHeight="1">
      <c r="A53" s="23" t="str">
        <f>IF('Production Inventory'!$C44="","",'Production Inventory'!$A44)</f>
        <v/>
      </c>
      <c r="B53" s="5" t="str">
        <f>IF('Production Inventory'!$C44="","",'Production Inventory'!$B44&amp;"")</f>
        <v/>
      </c>
      <c r="C53" s="4" t="str">
        <f>IF('Production Inventory'!$C44="","",'Production Inventory'!$C44&amp;"")</f>
        <v/>
      </c>
      <c r="D53" s="4" t="str">
        <f>IF('Production Inventory'!$C44="","",'Production Inventory'!$D44&amp;"")</f>
        <v/>
      </c>
      <c r="E53" s="4" t="str">
        <f>IF('Production Inventory'!$C44="","",'Production Inventory'!$E44&amp;"")</f>
        <v/>
      </c>
      <c r="F53" s="4" t="str">
        <f>IF('Production Inventory'!$C44="","",'Production Inventory'!$F44&amp;"")</f>
        <v/>
      </c>
      <c r="G53" s="28" t="str">
        <f>IF('Production Inventory'!$C44="","",'Production Inventory'!$I44&amp;"")</f>
        <v/>
      </c>
      <c r="H53" s="28" t="str">
        <f>IF('Production Inventory'!$C44="","",'Production Inventory'!$K44&amp;"")</f>
        <v/>
      </c>
      <c r="I53" s="28" t="str">
        <f>IF('Production Inventory'!$C44="","",'Production Inventory'!$M44&amp;"")</f>
        <v/>
      </c>
      <c r="J53" s="17" t="str">
        <f>IF('Production Inventory'!$O44="","",HYPERLINK('Production Inventory'!$O44,"Jira"))</f>
        <v/>
      </c>
      <c r="K53" s="17" t="str">
        <f>IF('Production Inventory'!$P44="","",HYPERLINK('Production Inventory'!$P44,"ClickUp"))</f>
        <v/>
      </c>
      <c r="L53" s="17" t="str">
        <f>IF('Production Inventory'!$Q44="","",HYPERLINK('Production Inventory'!$Q44,"Bluecore"))</f>
        <v/>
      </c>
    </row>
    <row r="54" spans="1:12" ht="24" customHeight="1">
      <c r="A54" s="23" t="str">
        <f>IF('Production Inventory'!$C45="","",'Production Inventory'!$A45)</f>
        <v/>
      </c>
      <c r="B54" s="5" t="str">
        <f>IF('Production Inventory'!$C45="","",'Production Inventory'!$B45&amp;"")</f>
        <v/>
      </c>
      <c r="C54" s="4" t="str">
        <f>IF('Production Inventory'!$C45="","",'Production Inventory'!$C45&amp;"")</f>
        <v/>
      </c>
      <c r="D54" s="4" t="str">
        <f>IF('Production Inventory'!$C45="","",'Production Inventory'!$D45&amp;"")</f>
        <v/>
      </c>
      <c r="E54" s="4" t="str">
        <f>IF('Production Inventory'!$C45="","",'Production Inventory'!$E45&amp;"")</f>
        <v/>
      </c>
      <c r="F54" s="4" t="str">
        <f>IF('Production Inventory'!$C45="","",'Production Inventory'!$F45&amp;"")</f>
        <v/>
      </c>
      <c r="G54" s="28" t="str">
        <f>IF('Production Inventory'!$C45="","",'Production Inventory'!$I45&amp;"")</f>
        <v/>
      </c>
      <c r="H54" s="28" t="str">
        <f>IF('Production Inventory'!$C45="","",'Production Inventory'!$K45&amp;"")</f>
        <v/>
      </c>
      <c r="I54" s="28" t="str">
        <f>IF('Production Inventory'!$C45="","",'Production Inventory'!$M45&amp;"")</f>
        <v/>
      </c>
      <c r="J54" s="17" t="str">
        <f>IF('Production Inventory'!$O45="","",HYPERLINK('Production Inventory'!$O45,"Jira"))</f>
        <v/>
      </c>
      <c r="K54" s="17" t="str">
        <f>IF('Production Inventory'!$P45="","",HYPERLINK('Production Inventory'!$P45,"ClickUp"))</f>
        <v/>
      </c>
      <c r="L54" s="17" t="str">
        <f>IF('Production Inventory'!$Q45="","",HYPERLINK('Production Inventory'!$Q45,"Bluecore"))</f>
        <v/>
      </c>
    </row>
    <row r="55" spans="1:12" ht="24" customHeight="1">
      <c r="A55" s="23" t="str">
        <f>IF('Production Inventory'!$C46="","",'Production Inventory'!$A46)</f>
        <v/>
      </c>
      <c r="B55" s="5" t="str">
        <f>IF('Production Inventory'!$C46="","",'Production Inventory'!$B46&amp;"")</f>
        <v/>
      </c>
      <c r="C55" s="4" t="str">
        <f>IF('Production Inventory'!$C46="","",'Production Inventory'!$C46&amp;"")</f>
        <v/>
      </c>
      <c r="D55" s="4" t="str">
        <f>IF('Production Inventory'!$C46="","",'Production Inventory'!$D46&amp;"")</f>
        <v/>
      </c>
      <c r="E55" s="4" t="str">
        <f>IF('Production Inventory'!$C46="","",'Production Inventory'!$E46&amp;"")</f>
        <v/>
      </c>
      <c r="F55" s="4" t="str">
        <f>IF('Production Inventory'!$C46="","",'Production Inventory'!$F46&amp;"")</f>
        <v/>
      </c>
      <c r="G55" s="28" t="str">
        <f>IF('Production Inventory'!$C46="","",'Production Inventory'!$I46&amp;"")</f>
        <v/>
      </c>
      <c r="H55" s="28" t="str">
        <f>IF('Production Inventory'!$C46="","",'Production Inventory'!$K46&amp;"")</f>
        <v/>
      </c>
      <c r="I55" s="28" t="str">
        <f>IF('Production Inventory'!$C46="","",'Production Inventory'!$M46&amp;"")</f>
        <v/>
      </c>
      <c r="J55" s="17" t="str">
        <f>IF('Production Inventory'!$O46="","",HYPERLINK('Production Inventory'!$O46,"Jira"))</f>
        <v/>
      </c>
      <c r="K55" s="17" t="str">
        <f>IF('Production Inventory'!$P46="","",HYPERLINK('Production Inventory'!$P46,"ClickUp"))</f>
        <v/>
      </c>
      <c r="L55" s="17" t="str">
        <f>IF('Production Inventory'!$Q46="","",HYPERLINK('Production Inventory'!$Q46,"Bluecore"))</f>
        <v/>
      </c>
    </row>
    <row r="56" spans="1:12" ht="24" customHeight="1">
      <c r="A56" s="23" t="str">
        <f>IF('Production Inventory'!$C47="","",'Production Inventory'!$A47)</f>
        <v/>
      </c>
      <c r="B56" s="5" t="str">
        <f>IF('Production Inventory'!$C47="","",'Production Inventory'!$B47&amp;"")</f>
        <v/>
      </c>
      <c r="C56" s="4" t="str">
        <f>IF('Production Inventory'!$C47="","",'Production Inventory'!$C47&amp;"")</f>
        <v/>
      </c>
      <c r="D56" s="4" t="str">
        <f>IF('Production Inventory'!$C47="","",'Production Inventory'!$D47&amp;"")</f>
        <v/>
      </c>
      <c r="E56" s="4" t="str">
        <f>IF('Production Inventory'!$C47="","",'Production Inventory'!$E47&amp;"")</f>
        <v/>
      </c>
      <c r="F56" s="4" t="str">
        <f>IF('Production Inventory'!$C47="","",'Production Inventory'!$F47&amp;"")</f>
        <v/>
      </c>
      <c r="G56" s="28" t="str">
        <f>IF('Production Inventory'!$C47="","",'Production Inventory'!$I47&amp;"")</f>
        <v/>
      </c>
      <c r="H56" s="28" t="str">
        <f>IF('Production Inventory'!$C47="","",'Production Inventory'!$K47&amp;"")</f>
        <v/>
      </c>
      <c r="I56" s="28" t="str">
        <f>IF('Production Inventory'!$C47="","",'Production Inventory'!$M47&amp;"")</f>
        <v/>
      </c>
      <c r="J56" s="17" t="str">
        <f>IF('Production Inventory'!$O47="","",HYPERLINK('Production Inventory'!$O47,"Jira"))</f>
        <v/>
      </c>
      <c r="K56" s="17" t="str">
        <f>IF('Production Inventory'!$P47="","",HYPERLINK('Production Inventory'!$P47,"ClickUp"))</f>
        <v/>
      </c>
      <c r="L56" s="17" t="str">
        <f>IF('Production Inventory'!$Q47="","",HYPERLINK('Production Inventory'!$Q47,"Bluecore"))</f>
        <v/>
      </c>
    </row>
    <row r="57" spans="1:12" ht="24" customHeight="1">
      <c r="A57" s="23" t="str">
        <f>IF('Production Inventory'!$C48="","",'Production Inventory'!$A48)</f>
        <v/>
      </c>
      <c r="B57" s="5" t="str">
        <f>IF('Production Inventory'!$C48="","",'Production Inventory'!$B48&amp;"")</f>
        <v/>
      </c>
      <c r="C57" s="4" t="str">
        <f>IF('Production Inventory'!$C48="","",'Production Inventory'!$C48&amp;"")</f>
        <v/>
      </c>
      <c r="D57" s="4" t="str">
        <f>IF('Production Inventory'!$C48="","",'Production Inventory'!$D48&amp;"")</f>
        <v/>
      </c>
      <c r="E57" s="4" t="str">
        <f>IF('Production Inventory'!$C48="","",'Production Inventory'!$E48&amp;"")</f>
        <v/>
      </c>
      <c r="F57" s="4" t="str">
        <f>IF('Production Inventory'!$C48="","",'Production Inventory'!$F48&amp;"")</f>
        <v/>
      </c>
      <c r="G57" s="28" t="str">
        <f>IF('Production Inventory'!$C48="","",'Production Inventory'!$I48&amp;"")</f>
        <v/>
      </c>
      <c r="H57" s="28" t="str">
        <f>IF('Production Inventory'!$C48="","",'Production Inventory'!$K48&amp;"")</f>
        <v/>
      </c>
      <c r="I57" s="28" t="str">
        <f>IF('Production Inventory'!$C48="","",'Production Inventory'!$M48&amp;"")</f>
        <v/>
      </c>
      <c r="J57" s="17" t="str">
        <f>IF('Production Inventory'!$O48="","",HYPERLINK('Production Inventory'!$O48,"Jira"))</f>
        <v/>
      </c>
      <c r="K57" s="17" t="str">
        <f>IF('Production Inventory'!$P48="","",HYPERLINK('Production Inventory'!$P48,"ClickUp"))</f>
        <v/>
      </c>
      <c r="L57" s="17" t="str">
        <f>IF('Production Inventory'!$Q48="","",HYPERLINK('Production Inventory'!$Q48,"Bluecore"))</f>
        <v/>
      </c>
    </row>
    <row r="58" spans="1:12" ht="24" customHeight="1">
      <c r="A58" s="23" t="str">
        <f>IF('Production Inventory'!$C49="","",'Production Inventory'!$A49)</f>
        <v/>
      </c>
      <c r="B58" s="5" t="str">
        <f>IF('Production Inventory'!$C49="","",'Production Inventory'!$B49&amp;"")</f>
        <v/>
      </c>
      <c r="C58" s="4" t="str">
        <f>IF('Production Inventory'!$C49="","",'Production Inventory'!$C49&amp;"")</f>
        <v/>
      </c>
      <c r="D58" s="4" t="str">
        <f>IF('Production Inventory'!$C49="","",'Production Inventory'!$D49&amp;"")</f>
        <v/>
      </c>
      <c r="E58" s="4" t="str">
        <f>IF('Production Inventory'!$C49="","",'Production Inventory'!$E49&amp;"")</f>
        <v/>
      </c>
      <c r="F58" s="4" t="str">
        <f>IF('Production Inventory'!$C49="","",'Production Inventory'!$F49&amp;"")</f>
        <v/>
      </c>
      <c r="G58" s="28" t="str">
        <f>IF('Production Inventory'!$C49="","",'Production Inventory'!$I49&amp;"")</f>
        <v/>
      </c>
      <c r="H58" s="28" t="str">
        <f>IF('Production Inventory'!$C49="","",'Production Inventory'!$K49&amp;"")</f>
        <v/>
      </c>
      <c r="I58" s="28" t="str">
        <f>IF('Production Inventory'!$C49="","",'Production Inventory'!$M49&amp;"")</f>
        <v/>
      </c>
      <c r="J58" s="17" t="str">
        <f>IF('Production Inventory'!$O49="","",HYPERLINK('Production Inventory'!$O49,"Jira"))</f>
        <v/>
      </c>
      <c r="K58" s="17" t="str">
        <f>IF('Production Inventory'!$P49="","",HYPERLINK('Production Inventory'!$P49,"ClickUp"))</f>
        <v/>
      </c>
      <c r="L58" s="17" t="str">
        <f>IF('Production Inventory'!$Q49="","",HYPERLINK('Production Inventory'!$Q49,"Bluecore"))</f>
        <v/>
      </c>
    </row>
    <row r="59" spans="1:12" ht="24" customHeight="1">
      <c r="A59" s="23" t="str">
        <f>IF('Production Inventory'!$C50="","",'Production Inventory'!$A50)</f>
        <v/>
      </c>
      <c r="B59" s="5" t="str">
        <f>IF('Production Inventory'!$C50="","",'Production Inventory'!$B50&amp;"")</f>
        <v/>
      </c>
      <c r="C59" s="4" t="str">
        <f>IF('Production Inventory'!$C50="","",'Production Inventory'!$C50&amp;"")</f>
        <v/>
      </c>
      <c r="D59" s="4" t="str">
        <f>IF('Production Inventory'!$C50="","",'Production Inventory'!$D50&amp;"")</f>
        <v/>
      </c>
      <c r="E59" s="4" t="str">
        <f>IF('Production Inventory'!$C50="","",'Production Inventory'!$E50&amp;"")</f>
        <v/>
      </c>
      <c r="F59" s="4" t="str">
        <f>IF('Production Inventory'!$C50="","",'Production Inventory'!$F50&amp;"")</f>
        <v/>
      </c>
      <c r="G59" s="28" t="str">
        <f>IF('Production Inventory'!$C50="","",'Production Inventory'!$I50&amp;"")</f>
        <v/>
      </c>
      <c r="H59" s="28" t="str">
        <f>IF('Production Inventory'!$C50="","",'Production Inventory'!$K50&amp;"")</f>
        <v/>
      </c>
      <c r="I59" s="28" t="str">
        <f>IF('Production Inventory'!$C50="","",'Production Inventory'!$M50&amp;"")</f>
        <v/>
      </c>
      <c r="J59" s="17" t="str">
        <f>IF('Production Inventory'!$O50="","",HYPERLINK('Production Inventory'!$O50,"Jira"))</f>
        <v/>
      </c>
      <c r="K59" s="17" t="str">
        <f>IF('Production Inventory'!$P50="","",HYPERLINK('Production Inventory'!$P50,"ClickUp"))</f>
        <v/>
      </c>
      <c r="L59" s="17" t="str">
        <f>IF('Production Inventory'!$Q50="","",HYPERLINK('Production Inventory'!$Q50,"Bluecore"))</f>
        <v/>
      </c>
    </row>
    <row r="60" spans="1:12" ht="24" customHeight="1">
      <c r="A60" s="23" t="str">
        <f>IF('Production Inventory'!$C51="","",'Production Inventory'!$A51)</f>
        <v/>
      </c>
      <c r="B60" s="5" t="str">
        <f>IF('Production Inventory'!$C51="","",'Production Inventory'!$B51&amp;"")</f>
        <v/>
      </c>
      <c r="C60" s="4" t="str">
        <f>IF('Production Inventory'!$C51="","",'Production Inventory'!$C51&amp;"")</f>
        <v/>
      </c>
      <c r="D60" s="4" t="str">
        <f>IF('Production Inventory'!$C51="","",'Production Inventory'!$D51&amp;"")</f>
        <v/>
      </c>
      <c r="E60" s="4" t="str">
        <f>IF('Production Inventory'!$C51="","",'Production Inventory'!$E51&amp;"")</f>
        <v/>
      </c>
      <c r="F60" s="4" t="str">
        <f>IF('Production Inventory'!$C51="","",'Production Inventory'!$F51&amp;"")</f>
        <v/>
      </c>
      <c r="G60" s="28" t="str">
        <f>IF('Production Inventory'!$C51="","",'Production Inventory'!$I51&amp;"")</f>
        <v/>
      </c>
      <c r="H60" s="28" t="str">
        <f>IF('Production Inventory'!$C51="","",'Production Inventory'!$K51&amp;"")</f>
        <v/>
      </c>
      <c r="I60" s="28" t="str">
        <f>IF('Production Inventory'!$C51="","",'Production Inventory'!$M51&amp;"")</f>
        <v/>
      </c>
      <c r="J60" s="17" t="str">
        <f>IF('Production Inventory'!$O51="","",HYPERLINK('Production Inventory'!$O51,"Jira"))</f>
        <v/>
      </c>
      <c r="K60" s="17" t="str">
        <f>IF('Production Inventory'!$P51="","",HYPERLINK('Production Inventory'!$P51,"ClickUp"))</f>
        <v/>
      </c>
      <c r="L60" s="17" t="str">
        <f>IF('Production Inventory'!$Q51="","",HYPERLINK('Production Inventory'!$Q51,"Bluecore"))</f>
        <v/>
      </c>
    </row>
    <row r="61" spans="1:12" ht="24" customHeight="1">
      <c r="A61" s="23" t="str">
        <f>IF('Production Inventory'!$C52="","",'Production Inventory'!$A52)</f>
        <v/>
      </c>
      <c r="B61" s="5" t="str">
        <f>IF('Production Inventory'!$C52="","",'Production Inventory'!$B52&amp;"")</f>
        <v/>
      </c>
      <c r="C61" s="4" t="str">
        <f>IF('Production Inventory'!$C52="","",'Production Inventory'!$C52&amp;"")</f>
        <v/>
      </c>
      <c r="D61" s="4" t="str">
        <f>IF('Production Inventory'!$C52="","",'Production Inventory'!$D52&amp;"")</f>
        <v/>
      </c>
      <c r="E61" s="4" t="str">
        <f>IF('Production Inventory'!$C52="","",'Production Inventory'!$E52&amp;"")</f>
        <v/>
      </c>
      <c r="F61" s="4" t="str">
        <f>IF('Production Inventory'!$C52="","",'Production Inventory'!$F52&amp;"")</f>
        <v/>
      </c>
      <c r="G61" s="28" t="str">
        <f>IF('Production Inventory'!$C52="","",'Production Inventory'!$I52&amp;"")</f>
        <v/>
      </c>
      <c r="H61" s="28" t="str">
        <f>IF('Production Inventory'!$C52="","",'Production Inventory'!$K52&amp;"")</f>
        <v/>
      </c>
      <c r="I61" s="28" t="str">
        <f>IF('Production Inventory'!$C52="","",'Production Inventory'!$M52&amp;"")</f>
        <v/>
      </c>
      <c r="J61" s="17" t="str">
        <f>IF('Production Inventory'!$O52="","",HYPERLINK('Production Inventory'!$O52,"Jira"))</f>
        <v/>
      </c>
      <c r="K61" s="17" t="str">
        <f>IF('Production Inventory'!$P52="","",HYPERLINK('Production Inventory'!$P52,"ClickUp"))</f>
        <v/>
      </c>
      <c r="L61" s="17" t="str">
        <f>IF('Production Inventory'!$Q52="","",HYPERLINK('Production Inventory'!$Q52,"Bluecore"))</f>
        <v/>
      </c>
    </row>
    <row r="62" spans="1:12" ht="24" customHeight="1">
      <c r="A62" s="23" t="str">
        <f>IF('Production Inventory'!$C53="","",'Production Inventory'!$A53)</f>
        <v/>
      </c>
      <c r="B62" s="5" t="str">
        <f>IF('Production Inventory'!$C53="","",'Production Inventory'!$B53&amp;"")</f>
        <v/>
      </c>
      <c r="C62" s="4" t="str">
        <f>IF('Production Inventory'!$C53="","",'Production Inventory'!$C53&amp;"")</f>
        <v/>
      </c>
      <c r="D62" s="4" t="str">
        <f>IF('Production Inventory'!$C53="","",'Production Inventory'!$D53&amp;"")</f>
        <v/>
      </c>
      <c r="E62" s="4" t="str">
        <f>IF('Production Inventory'!$C53="","",'Production Inventory'!$E53&amp;"")</f>
        <v/>
      </c>
      <c r="F62" s="4" t="str">
        <f>IF('Production Inventory'!$C53="","",'Production Inventory'!$F53&amp;"")</f>
        <v/>
      </c>
      <c r="G62" s="28" t="str">
        <f>IF('Production Inventory'!$C53="","",'Production Inventory'!$I53&amp;"")</f>
        <v/>
      </c>
      <c r="H62" s="28" t="str">
        <f>IF('Production Inventory'!$C53="","",'Production Inventory'!$K53&amp;"")</f>
        <v/>
      </c>
      <c r="I62" s="28" t="str">
        <f>IF('Production Inventory'!$C53="","",'Production Inventory'!$M53&amp;"")</f>
        <v/>
      </c>
      <c r="J62" s="17" t="str">
        <f>IF('Production Inventory'!$O53="","",HYPERLINK('Production Inventory'!$O53,"Jira"))</f>
        <v/>
      </c>
      <c r="K62" s="17" t="str">
        <f>IF('Production Inventory'!$P53="","",HYPERLINK('Production Inventory'!$P53,"ClickUp"))</f>
        <v/>
      </c>
      <c r="L62" s="17" t="str">
        <f>IF('Production Inventory'!$Q53="","",HYPERLINK('Production Inventory'!$Q53,"Bluecore"))</f>
        <v/>
      </c>
    </row>
    <row r="63" spans="1:12" ht="24" customHeight="1">
      <c r="A63" s="23" t="str">
        <f>IF('Production Inventory'!$C54="","",'Production Inventory'!$A54)</f>
        <v/>
      </c>
      <c r="B63" s="5" t="str">
        <f>IF('Production Inventory'!$C54="","",'Production Inventory'!$B54&amp;"")</f>
        <v/>
      </c>
      <c r="C63" s="4" t="str">
        <f>IF('Production Inventory'!$C54="","",'Production Inventory'!$C54&amp;"")</f>
        <v/>
      </c>
      <c r="D63" s="4" t="str">
        <f>IF('Production Inventory'!$C54="","",'Production Inventory'!$D54&amp;"")</f>
        <v/>
      </c>
      <c r="E63" s="4" t="str">
        <f>IF('Production Inventory'!$C54="","",'Production Inventory'!$E54&amp;"")</f>
        <v/>
      </c>
      <c r="F63" s="4" t="str">
        <f>IF('Production Inventory'!$C54="","",'Production Inventory'!$F54&amp;"")</f>
        <v/>
      </c>
      <c r="G63" s="28" t="str">
        <f>IF('Production Inventory'!$C54="","",'Production Inventory'!$I54&amp;"")</f>
        <v/>
      </c>
      <c r="H63" s="28" t="str">
        <f>IF('Production Inventory'!$C54="","",'Production Inventory'!$K54&amp;"")</f>
        <v/>
      </c>
      <c r="I63" s="28" t="str">
        <f>IF('Production Inventory'!$C54="","",'Production Inventory'!$M54&amp;"")</f>
        <v/>
      </c>
      <c r="J63" s="17" t="str">
        <f>IF('Production Inventory'!$O54="","",HYPERLINK('Production Inventory'!$O54,"Jira"))</f>
        <v/>
      </c>
      <c r="K63" s="17" t="str">
        <f>IF('Production Inventory'!$P54="","",HYPERLINK('Production Inventory'!$P54,"ClickUp"))</f>
        <v/>
      </c>
      <c r="L63" s="17" t="str">
        <f>IF('Production Inventory'!$Q54="","",HYPERLINK('Production Inventory'!$Q54,"Bluecore"))</f>
        <v/>
      </c>
    </row>
    <row r="64" spans="1:12" ht="24" customHeight="1">
      <c r="A64" s="23" t="str">
        <f>IF('Production Inventory'!$C55="","",'Production Inventory'!$A55)</f>
        <v/>
      </c>
      <c r="B64" s="5" t="str">
        <f>IF('Production Inventory'!$C55="","",'Production Inventory'!$B55&amp;"")</f>
        <v/>
      </c>
      <c r="C64" s="4" t="str">
        <f>IF('Production Inventory'!$C55="","",'Production Inventory'!$C55&amp;"")</f>
        <v/>
      </c>
      <c r="D64" s="4" t="str">
        <f>IF('Production Inventory'!$C55="","",'Production Inventory'!$D55&amp;"")</f>
        <v/>
      </c>
      <c r="E64" s="4" t="str">
        <f>IF('Production Inventory'!$C55="","",'Production Inventory'!$E55&amp;"")</f>
        <v/>
      </c>
      <c r="F64" s="4" t="str">
        <f>IF('Production Inventory'!$C55="","",'Production Inventory'!$F55&amp;"")</f>
        <v/>
      </c>
      <c r="G64" s="28" t="str">
        <f>IF('Production Inventory'!$C55="","",'Production Inventory'!$I55&amp;"")</f>
        <v/>
      </c>
      <c r="H64" s="28" t="str">
        <f>IF('Production Inventory'!$C55="","",'Production Inventory'!$K55&amp;"")</f>
        <v/>
      </c>
      <c r="I64" s="28" t="str">
        <f>IF('Production Inventory'!$C55="","",'Production Inventory'!$M55&amp;"")</f>
        <v/>
      </c>
      <c r="J64" s="17" t="str">
        <f>IF('Production Inventory'!$O55="","",HYPERLINK('Production Inventory'!$O55,"Jira"))</f>
        <v/>
      </c>
      <c r="K64" s="17" t="str">
        <f>IF('Production Inventory'!$P55="","",HYPERLINK('Production Inventory'!$P55,"ClickUp"))</f>
        <v/>
      </c>
      <c r="L64" s="17" t="str">
        <f>IF('Production Inventory'!$Q55="","",HYPERLINK('Production Inventory'!$Q55,"Bluecore"))</f>
        <v/>
      </c>
    </row>
    <row r="65" spans="1:12" ht="24" customHeight="1">
      <c r="A65" s="23" t="str">
        <f>IF('Production Inventory'!$C56="","",'Production Inventory'!$A56)</f>
        <v/>
      </c>
      <c r="B65" s="5" t="str">
        <f>IF('Production Inventory'!$C56="","",'Production Inventory'!$B56&amp;"")</f>
        <v/>
      </c>
      <c r="C65" s="4" t="str">
        <f>IF('Production Inventory'!$C56="","",'Production Inventory'!$C56&amp;"")</f>
        <v/>
      </c>
      <c r="D65" s="4" t="str">
        <f>IF('Production Inventory'!$C56="","",'Production Inventory'!$D56&amp;"")</f>
        <v/>
      </c>
      <c r="E65" s="4" t="str">
        <f>IF('Production Inventory'!$C56="","",'Production Inventory'!$E56&amp;"")</f>
        <v/>
      </c>
      <c r="F65" s="4" t="str">
        <f>IF('Production Inventory'!$C56="","",'Production Inventory'!$F56&amp;"")</f>
        <v/>
      </c>
      <c r="G65" s="28" t="str">
        <f>IF('Production Inventory'!$C56="","",'Production Inventory'!$I56&amp;"")</f>
        <v/>
      </c>
      <c r="H65" s="28" t="str">
        <f>IF('Production Inventory'!$C56="","",'Production Inventory'!$K56&amp;"")</f>
        <v/>
      </c>
      <c r="I65" s="28" t="str">
        <f>IF('Production Inventory'!$C56="","",'Production Inventory'!$M56&amp;"")</f>
        <v/>
      </c>
      <c r="J65" s="17" t="str">
        <f>IF('Production Inventory'!$O56="","",HYPERLINK('Production Inventory'!$O56,"Jira"))</f>
        <v/>
      </c>
      <c r="K65" s="17" t="str">
        <f>IF('Production Inventory'!$P56="","",HYPERLINK('Production Inventory'!$P56,"ClickUp"))</f>
        <v/>
      </c>
      <c r="L65" s="17" t="str">
        <f>IF('Production Inventory'!$Q56="","",HYPERLINK('Production Inventory'!$Q56,"Bluecore"))</f>
        <v/>
      </c>
    </row>
    <row r="66" spans="1:12" ht="24" customHeight="1">
      <c r="A66" s="23" t="str">
        <f>IF('Production Inventory'!$C57="","",'Production Inventory'!$A57)</f>
        <v/>
      </c>
      <c r="B66" s="5" t="str">
        <f>IF('Production Inventory'!$C57="","",'Production Inventory'!$B57&amp;"")</f>
        <v/>
      </c>
      <c r="C66" s="4" t="str">
        <f>IF('Production Inventory'!$C57="","",'Production Inventory'!$C57&amp;"")</f>
        <v/>
      </c>
      <c r="D66" s="4" t="str">
        <f>IF('Production Inventory'!$C57="","",'Production Inventory'!$D57&amp;"")</f>
        <v/>
      </c>
      <c r="E66" s="4" t="str">
        <f>IF('Production Inventory'!$C57="","",'Production Inventory'!$E57&amp;"")</f>
        <v/>
      </c>
      <c r="F66" s="4" t="str">
        <f>IF('Production Inventory'!$C57="","",'Production Inventory'!$F57&amp;"")</f>
        <v/>
      </c>
      <c r="G66" s="28" t="str">
        <f>IF('Production Inventory'!$C57="","",'Production Inventory'!$I57&amp;"")</f>
        <v/>
      </c>
      <c r="H66" s="28" t="str">
        <f>IF('Production Inventory'!$C57="","",'Production Inventory'!$K57&amp;"")</f>
        <v/>
      </c>
      <c r="I66" s="28" t="str">
        <f>IF('Production Inventory'!$C57="","",'Production Inventory'!$M57&amp;"")</f>
        <v/>
      </c>
      <c r="J66" s="17" t="str">
        <f>IF('Production Inventory'!$O57="","",HYPERLINK('Production Inventory'!$O57,"Jira"))</f>
        <v/>
      </c>
      <c r="K66" s="17" t="str">
        <f>IF('Production Inventory'!$P57="","",HYPERLINK('Production Inventory'!$P57,"ClickUp"))</f>
        <v/>
      </c>
      <c r="L66" s="17" t="str">
        <f>IF('Production Inventory'!$Q57="","",HYPERLINK('Production Inventory'!$Q57,"Bluecore"))</f>
        <v/>
      </c>
    </row>
    <row r="67" spans="1:12" ht="24" customHeight="1">
      <c r="A67" s="23" t="str">
        <f>IF('Production Inventory'!$C58="","",'Production Inventory'!$A58)</f>
        <v/>
      </c>
      <c r="B67" s="5" t="str">
        <f>IF('Production Inventory'!$C58="","",'Production Inventory'!$B58&amp;"")</f>
        <v/>
      </c>
      <c r="C67" s="4" t="str">
        <f>IF('Production Inventory'!$C58="","",'Production Inventory'!$C58&amp;"")</f>
        <v/>
      </c>
      <c r="D67" s="4" t="str">
        <f>IF('Production Inventory'!$C58="","",'Production Inventory'!$D58&amp;"")</f>
        <v/>
      </c>
      <c r="E67" s="4" t="str">
        <f>IF('Production Inventory'!$C58="","",'Production Inventory'!$E58&amp;"")</f>
        <v/>
      </c>
      <c r="F67" s="4" t="str">
        <f>IF('Production Inventory'!$C58="","",'Production Inventory'!$F58&amp;"")</f>
        <v/>
      </c>
      <c r="G67" s="28" t="str">
        <f>IF('Production Inventory'!$C58="","",'Production Inventory'!$I58&amp;"")</f>
        <v/>
      </c>
      <c r="H67" s="28" t="str">
        <f>IF('Production Inventory'!$C58="","",'Production Inventory'!$K58&amp;"")</f>
        <v/>
      </c>
      <c r="I67" s="28" t="str">
        <f>IF('Production Inventory'!$C58="","",'Production Inventory'!$M58&amp;"")</f>
        <v/>
      </c>
      <c r="J67" s="17" t="str">
        <f>IF('Production Inventory'!$O58="","",HYPERLINK('Production Inventory'!$O58,"Jira"))</f>
        <v/>
      </c>
      <c r="K67" s="17" t="str">
        <f>IF('Production Inventory'!$P58="","",HYPERLINK('Production Inventory'!$P58,"ClickUp"))</f>
        <v/>
      </c>
      <c r="L67" s="17" t="str">
        <f>IF('Production Inventory'!$Q58="","",HYPERLINK('Production Inventory'!$Q58,"Bluecore"))</f>
        <v/>
      </c>
    </row>
    <row r="68" spans="1:12" ht="24" customHeight="1">
      <c r="A68" s="23" t="str">
        <f>IF('Production Inventory'!$C59="","",'Production Inventory'!$A59)</f>
        <v/>
      </c>
      <c r="B68" s="5" t="str">
        <f>IF('Production Inventory'!$C59="","",'Production Inventory'!$B59&amp;"")</f>
        <v/>
      </c>
      <c r="C68" s="4" t="str">
        <f>IF('Production Inventory'!$C59="","",'Production Inventory'!$C59&amp;"")</f>
        <v/>
      </c>
      <c r="D68" s="4" t="str">
        <f>IF('Production Inventory'!$C59="","",'Production Inventory'!$D59&amp;"")</f>
        <v/>
      </c>
      <c r="E68" s="4" t="str">
        <f>IF('Production Inventory'!$C59="","",'Production Inventory'!$E59&amp;"")</f>
        <v/>
      </c>
      <c r="F68" s="4" t="str">
        <f>IF('Production Inventory'!$C59="","",'Production Inventory'!$F59&amp;"")</f>
        <v/>
      </c>
      <c r="G68" s="28" t="str">
        <f>IF('Production Inventory'!$C59="","",'Production Inventory'!$I59&amp;"")</f>
        <v/>
      </c>
      <c r="H68" s="28" t="str">
        <f>IF('Production Inventory'!$C59="","",'Production Inventory'!$K59&amp;"")</f>
        <v/>
      </c>
      <c r="I68" s="28" t="str">
        <f>IF('Production Inventory'!$C59="","",'Production Inventory'!$M59&amp;"")</f>
        <v/>
      </c>
      <c r="J68" s="17" t="str">
        <f>IF('Production Inventory'!$O59="","",HYPERLINK('Production Inventory'!$O59,"Jira"))</f>
        <v/>
      </c>
      <c r="K68" s="17" t="str">
        <f>IF('Production Inventory'!$P59="","",HYPERLINK('Production Inventory'!$P59,"ClickUp"))</f>
        <v/>
      </c>
      <c r="L68" s="17" t="str">
        <f>IF('Production Inventory'!$Q59="","",HYPERLINK('Production Inventory'!$Q59,"Bluecore"))</f>
        <v/>
      </c>
    </row>
    <row r="69" spans="1:12" ht="24" customHeight="1">
      <c r="A69" s="23" t="str">
        <f>IF('Production Inventory'!$C60="","",'Production Inventory'!$A60)</f>
        <v/>
      </c>
      <c r="B69" s="5" t="str">
        <f>IF('Production Inventory'!$C60="","",'Production Inventory'!$B60&amp;"")</f>
        <v/>
      </c>
      <c r="C69" s="4" t="str">
        <f>IF('Production Inventory'!$C60="","",'Production Inventory'!$C60&amp;"")</f>
        <v/>
      </c>
      <c r="D69" s="4" t="str">
        <f>IF('Production Inventory'!$C60="","",'Production Inventory'!$D60&amp;"")</f>
        <v/>
      </c>
      <c r="E69" s="4" t="str">
        <f>IF('Production Inventory'!$C60="","",'Production Inventory'!$E60&amp;"")</f>
        <v/>
      </c>
      <c r="F69" s="4" t="str">
        <f>IF('Production Inventory'!$C60="","",'Production Inventory'!$F60&amp;"")</f>
        <v/>
      </c>
      <c r="G69" s="28" t="str">
        <f>IF('Production Inventory'!$C60="","",'Production Inventory'!$I60&amp;"")</f>
        <v/>
      </c>
      <c r="H69" s="28" t="str">
        <f>IF('Production Inventory'!$C60="","",'Production Inventory'!$K60&amp;"")</f>
        <v/>
      </c>
      <c r="I69" s="28" t="str">
        <f>IF('Production Inventory'!$C60="","",'Production Inventory'!$M60&amp;"")</f>
        <v/>
      </c>
      <c r="J69" s="17" t="str">
        <f>IF('Production Inventory'!$O60="","",HYPERLINK('Production Inventory'!$O60,"Jira"))</f>
        <v/>
      </c>
      <c r="K69" s="17" t="str">
        <f>IF('Production Inventory'!$P60="","",HYPERLINK('Production Inventory'!$P60,"ClickUp"))</f>
        <v/>
      </c>
      <c r="L69" s="17" t="str">
        <f>IF('Production Inventory'!$Q60="","",HYPERLINK('Production Inventory'!$Q60,"Bluecore"))</f>
        <v/>
      </c>
    </row>
    <row r="70" spans="1:12" ht="24" customHeight="1">
      <c r="A70" s="23" t="str">
        <f>IF('Production Inventory'!$C61="","",'Production Inventory'!$A61)</f>
        <v/>
      </c>
      <c r="B70" s="5" t="str">
        <f>IF('Production Inventory'!$C61="","",'Production Inventory'!$B61&amp;"")</f>
        <v/>
      </c>
      <c r="C70" s="4" t="str">
        <f>IF('Production Inventory'!$C61="","",'Production Inventory'!$C61&amp;"")</f>
        <v/>
      </c>
      <c r="D70" s="4" t="str">
        <f>IF('Production Inventory'!$C61="","",'Production Inventory'!$D61&amp;"")</f>
        <v/>
      </c>
      <c r="E70" s="4" t="str">
        <f>IF('Production Inventory'!$C61="","",'Production Inventory'!$E61&amp;"")</f>
        <v/>
      </c>
      <c r="F70" s="4" t="str">
        <f>IF('Production Inventory'!$C61="","",'Production Inventory'!$F61&amp;"")</f>
        <v/>
      </c>
      <c r="G70" s="28" t="str">
        <f>IF('Production Inventory'!$C61="","",'Production Inventory'!$I61&amp;"")</f>
        <v/>
      </c>
      <c r="H70" s="28" t="str">
        <f>IF('Production Inventory'!$C61="","",'Production Inventory'!$K61&amp;"")</f>
        <v/>
      </c>
      <c r="I70" s="28" t="str">
        <f>IF('Production Inventory'!$C61="","",'Production Inventory'!$M61&amp;"")</f>
        <v/>
      </c>
      <c r="J70" s="17" t="str">
        <f>IF('Production Inventory'!$O61="","",HYPERLINK('Production Inventory'!$O61,"Jira"))</f>
        <v/>
      </c>
      <c r="K70" s="17" t="str">
        <f>IF('Production Inventory'!$P61="","",HYPERLINK('Production Inventory'!$P61,"ClickUp"))</f>
        <v/>
      </c>
      <c r="L70" s="17" t="str">
        <f>IF('Production Inventory'!$Q61="","",HYPERLINK('Production Inventory'!$Q61,"Bluecore"))</f>
        <v/>
      </c>
    </row>
    <row r="71" spans="1:12" ht="24" customHeight="1">
      <c r="A71" s="23" t="str">
        <f>IF('Production Inventory'!$C62="","",'Production Inventory'!$A62)</f>
        <v/>
      </c>
      <c r="B71" s="5" t="str">
        <f>IF('Production Inventory'!$C62="","",'Production Inventory'!$B62&amp;"")</f>
        <v/>
      </c>
      <c r="C71" s="4" t="str">
        <f>IF('Production Inventory'!$C62="","",'Production Inventory'!$C62&amp;"")</f>
        <v/>
      </c>
      <c r="D71" s="4" t="str">
        <f>IF('Production Inventory'!$C62="","",'Production Inventory'!$D62&amp;"")</f>
        <v/>
      </c>
      <c r="E71" s="4" t="str">
        <f>IF('Production Inventory'!$C62="","",'Production Inventory'!$E62&amp;"")</f>
        <v/>
      </c>
      <c r="F71" s="4" t="str">
        <f>IF('Production Inventory'!$C62="","",'Production Inventory'!$F62&amp;"")</f>
        <v/>
      </c>
      <c r="G71" s="28" t="str">
        <f>IF('Production Inventory'!$C62="","",'Production Inventory'!$I62&amp;"")</f>
        <v/>
      </c>
      <c r="H71" s="28" t="str">
        <f>IF('Production Inventory'!$C62="","",'Production Inventory'!$K62&amp;"")</f>
        <v/>
      </c>
      <c r="I71" s="28" t="str">
        <f>IF('Production Inventory'!$C62="","",'Production Inventory'!$M62&amp;"")</f>
        <v/>
      </c>
      <c r="J71" s="17" t="str">
        <f>IF('Production Inventory'!$O62="","",HYPERLINK('Production Inventory'!$O62,"Jira"))</f>
        <v/>
      </c>
      <c r="K71" s="17" t="str">
        <f>IF('Production Inventory'!$P62="","",HYPERLINK('Production Inventory'!$P62,"ClickUp"))</f>
        <v/>
      </c>
      <c r="L71" s="17" t="str">
        <f>IF('Production Inventory'!$Q62="","",HYPERLINK('Production Inventory'!$Q62,"Bluecore"))</f>
        <v/>
      </c>
    </row>
    <row r="72" spans="1:12" ht="24" customHeight="1">
      <c r="A72" s="23" t="str">
        <f>IF('Production Inventory'!$C63="","",'Production Inventory'!$A63)</f>
        <v/>
      </c>
      <c r="B72" s="5" t="str">
        <f>IF('Production Inventory'!$C63="","",'Production Inventory'!$B63&amp;"")</f>
        <v/>
      </c>
      <c r="C72" s="4" t="str">
        <f>IF('Production Inventory'!$C63="","",'Production Inventory'!$C63&amp;"")</f>
        <v/>
      </c>
      <c r="D72" s="4" t="str">
        <f>IF('Production Inventory'!$C63="","",'Production Inventory'!$D63&amp;"")</f>
        <v/>
      </c>
      <c r="E72" s="4" t="str">
        <f>IF('Production Inventory'!$C63="","",'Production Inventory'!$E63&amp;"")</f>
        <v/>
      </c>
      <c r="F72" s="4" t="str">
        <f>IF('Production Inventory'!$C63="","",'Production Inventory'!$F63&amp;"")</f>
        <v/>
      </c>
      <c r="G72" s="28" t="str">
        <f>IF('Production Inventory'!$C63="","",'Production Inventory'!$I63&amp;"")</f>
        <v/>
      </c>
      <c r="H72" s="28" t="str">
        <f>IF('Production Inventory'!$C63="","",'Production Inventory'!$K63&amp;"")</f>
        <v/>
      </c>
      <c r="I72" s="28" t="str">
        <f>IF('Production Inventory'!$C63="","",'Production Inventory'!$M63&amp;"")</f>
        <v/>
      </c>
      <c r="J72" s="17" t="str">
        <f>IF('Production Inventory'!$O63="","",HYPERLINK('Production Inventory'!$O63,"Jira"))</f>
        <v/>
      </c>
      <c r="K72" s="17" t="str">
        <f>IF('Production Inventory'!$P63="","",HYPERLINK('Production Inventory'!$P63,"ClickUp"))</f>
        <v/>
      </c>
      <c r="L72" s="17" t="str">
        <f>IF('Production Inventory'!$Q63="","",HYPERLINK('Production Inventory'!$Q63,"Bluecore"))</f>
        <v/>
      </c>
    </row>
    <row r="73" spans="1:12" ht="24" customHeight="1">
      <c r="A73" s="23" t="str">
        <f>IF('Production Inventory'!$C64="","",'Production Inventory'!$A64)</f>
        <v/>
      </c>
      <c r="B73" s="5" t="str">
        <f>IF('Production Inventory'!$C64="","",'Production Inventory'!$B64&amp;"")</f>
        <v/>
      </c>
      <c r="C73" s="4" t="str">
        <f>IF('Production Inventory'!$C64="","",'Production Inventory'!$C64&amp;"")</f>
        <v/>
      </c>
      <c r="D73" s="4" t="str">
        <f>IF('Production Inventory'!$C64="","",'Production Inventory'!$D64&amp;"")</f>
        <v/>
      </c>
      <c r="E73" s="4" t="str">
        <f>IF('Production Inventory'!$C64="","",'Production Inventory'!$E64&amp;"")</f>
        <v/>
      </c>
      <c r="F73" s="4" t="str">
        <f>IF('Production Inventory'!$C64="","",'Production Inventory'!$F64&amp;"")</f>
        <v/>
      </c>
      <c r="G73" s="28" t="str">
        <f>IF('Production Inventory'!$C64="","",'Production Inventory'!$I64&amp;"")</f>
        <v/>
      </c>
      <c r="H73" s="28" t="str">
        <f>IF('Production Inventory'!$C64="","",'Production Inventory'!$K64&amp;"")</f>
        <v/>
      </c>
      <c r="I73" s="28" t="str">
        <f>IF('Production Inventory'!$C64="","",'Production Inventory'!$M64&amp;"")</f>
        <v/>
      </c>
      <c r="J73" s="17" t="str">
        <f>IF('Production Inventory'!$O64="","",HYPERLINK('Production Inventory'!$O64,"Jira"))</f>
        <v/>
      </c>
      <c r="K73" s="17" t="str">
        <f>IF('Production Inventory'!$P64="","",HYPERLINK('Production Inventory'!$P64,"ClickUp"))</f>
        <v/>
      </c>
      <c r="L73" s="17" t="str">
        <f>IF('Production Inventory'!$Q64="","",HYPERLINK('Production Inventory'!$Q64,"Bluecore"))</f>
        <v/>
      </c>
    </row>
    <row r="74" spans="1:12" ht="24" customHeight="1">
      <c r="A74" s="23" t="str">
        <f>IF('Production Inventory'!$C65="","",'Production Inventory'!$A65)</f>
        <v/>
      </c>
      <c r="B74" s="5" t="str">
        <f>IF('Production Inventory'!$C65="","",'Production Inventory'!$B65&amp;"")</f>
        <v/>
      </c>
      <c r="C74" s="4" t="str">
        <f>IF('Production Inventory'!$C65="","",'Production Inventory'!$C65&amp;"")</f>
        <v/>
      </c>
      <c r="D74" s="4" t="str">
        <f>IF('Production Inventory'!$C65="","",'Production Inventory'!$D65&amp;"")</f>
        <v/>
      </c>
      <c r="E74" s="4" t="str">
        <f>IF('Production Inventory'!$C65="","",'Production Inventory'!$E65&amp;"")</f>
        <v/>
      </c>
      <c r="F74" s="4" t="str">
        <f>IF('Production Inventory'!$C65="","",'Production Inventory'!$F65&amp;"")</f>
        <v/>
      </c>
      <c r="G74" s="28" t="str">
        <f>IF('Production Inventory'!$C65="","",'Production Inventory'!$I65&amp;"")</f>
        <v/>
      </c>
      <c r="H74" s="28" t="str">
        <f>IF('Production Inventory'!$C65="","",'Production Inventory'!$K65&amp;"")</f>
        <v/>
      </c>
      <c r="I74" s="28" t="str">
        <f>IF('Production Inventory'!$C65="","",'Production Inventory'!$M65&amp;"")</f>
        <v/>
      </c>
      <c r="J74" s="17" t="str">
        <f>IF('Production Inventory'!$O65="","",HYPERLINK('Production Inventory'!$O65,"Jira"))</f>
        <v/>
      </c>
      <c r="K74" s="17" t="str">
        <f>IF('Production Inventory'!$P65="","",HYPERLINK('Production Inventory'!$P65,"ClickUp"))</f>
        <v/>
      </c>
      <c r="L74" s="17" t="str">
        <f>IF('Production Inventory'!$Q65="","",HYPERLINK('Production Inventory'!$Q65,"Bluecore"))</f>
        <v/>
      </c>
    </row>
    <row r="75" spans="1:12" ht="24" customHeight="1">
      <c r="A75" s="23" t="str">
        <f>IF('Production Inventory'!$C66="","",'Production Inventory'!$A66)</f>
        <v/>
      </c>
      <c r="B75" s="5" t="str">
        <f>IF('Production Inventory'!$C66="","",'Production Inventory'!$B66&amp;"")</f>
        <v/>
      </c>
      <c r="C75" s="4" t="str">
        <f>IF('Production Inventory'!$C66="","",'Production Inventory'!$C66&amp;"")</f>
        <v/>
      </c>
      <c r="D75" s="4" t="str">
        <f>IF('Production Inventory'!$C66="","",'Production Inventory'!$D66&amp;"")</f>
        <v/>
      </c>
      <c r="E75" s="4" t="str">
        <f>IF('Production Inventory'!$C66="","",'Production Inventory'!$E66&amp;"")</f>
        <v/>
      </c>
      <c r="F75" s="4" t="str">
        <f>IF('Production Inventory'!$C66="","",'Production Inventory'!$F66&amp;"")</f>
        <v/>
      </c>
      <c r="G75" s="28" t="str">
        <f>IF('Production Inventory'!$C66="","",'Production Inventory'!$I66&amp;"")</f>
        <v/>
      </c>
      <c r="H75" s="28" t="str">
        <f>IF('Production Inventory'!$C66="","",'Production Inventory'!$K66&amp;"")</f>
        <v/>
      </c>
      <c r="I75" s="28" t="str">
        <f>IF('Production Inventory'!$C66="","",'Production Inventory'!$M66&amp;"")</f>
        <v/>
      </c>
      <c r="J75" s="17" t="str">
        <f>IF('Production Inventory'!$O66="","",HYPERLINK('Production Inventory'!$O66,"Jira"))</f>
        <v/>
      </c>
      <c r="K75" s="17" t="str">
        <f>IF('Production Inventory'!$P66="","",HYPERLINK('Production Inventory'!$P66,"ClickUp"))</f>
        <v/>
      </c>
      <c r="L75" s="17" t="str">
        <f>IF('Production Inventory'!$Q66="","",HYPERLINK('Production Inventory'!$Q66,"Bluecore"))</f>
        <v/>
      </c>
    </row>
    <row r="76" spans="1:12" ht="24" customHeight="1">
      <c r="A76" s="23" t="str">
        <f>IF('Production Inventory'!$C67="","",'Production Inventory'!$A67)</f>
        <v/>
      </c>
      <c r="B76" s="5" t="str">
        <f>IF('Production Inventory'!$C67="","",'Production Inventory'!$B67&amp;"")</f>
        <v/>
      </c>
      <c r="C76" s="4" t="str">
        <f>IF('Production Inventory'!$C67="","",'Production Inventory'!$C67&amp;"")</f>
        <v/>
      </c>
      <c r="D76" s="4" t="str">
        <f>IF('Production Inventory'!$C67="","",'Production Inventory'!$D67&amp;"")</f>
        <v/>
      </c>
      <c r="E76" s="4" t="str">
        <f>IF('Production Inventory'!$C67="","",'Production Inventory'!$E67&amp;"")</f>
        <v/>
      </c>
      <c r="F76" s="4" t="str">
        <f>IF('Production Inventory'!$C67="","",'Production Inventory'!$F67&amp;"")</f>
        <v/>
      </c>
      <c r="G76" s="28" t="str">
        <f>IF('Production Inventory'!$C67="","",'Production Inventory'!$I67&amp;"")</f>
        <v/>
      </c>
      <c r="H76" s="28" t="str">
        <f>IF('Production Inventory'!$C67="","",'Production Inventory'!$K67&amp;"")</f>
        <v/>
      </c>
      <c r="I76" s="28" t="str">
        <f>IF('Production Inventory'!$C67="","",'Production Inventory'!$M67&amp;"")</f>
        <v/>
      </c>
      <c r="J76" s="17" t="str">
        <f>IF('Production Inventory'!$O67="","",HYPERLINK('Production Inventory'!$O67,"Jira"))</f>
        <v/>
      </c>
      <c r="K76" s="17" t="str">
        <f>IF('Production Inventory'!$P67="","",HYPERLINK('Production Inventory'!$P67,"ClickUp"))</f>
        <v/>
      </c>
      <c r="L76" s="17" t="str">
        <f>IF('Production Inventory'!$Q67="","",HYPERLINK('Production Inventory'!$Q67,"Bluecore"))</f>
        <v/>
      </c>
    </row>
    <row r="77" spans="1:12" ht="24" customHeight="1">
      <c r="A77" s="23" t="str">
        <f>IF('Production Inventory'!$C68="","",'Production Inventory'!$A68)</f>
        <v/>
      </c>
      <c r="B77" s="5" t="str">
        <f>IF('Production Inventory'!$C68="","",'Production Inventory'!$B68&amp;"")</f>
        <v/>
      </c>
      <c r="C77" s="4" t="str">
        <f>IF('Production Inventory'!$C68="","",'Production Inventory'!$C68&amp;"")</f>
        <v/>
      </c>
      <c r="D77" s="4" t="str">
        <f>IF('Production Inventory'!$C68="","",'Production Inventory'!$D68&amp;"")</f>
        <v/>
      </c>
      <c r="E77" s="4" t="str">
        <f>IF('Production Inventory'!$C68="","",'Production Inventory'!$E68&amp;"")</f>
        <v/>
      </c>
      <c r="F77" s="4" t="str">
        <f>IF('Production Inventory'!$C68="","",'Production Inventory'!$F68&amp;"")</f>
        <v/>
      </c>
      <c r="G77" s="28" t="str">
        <f>IF('Production Inventory'!$C68="","",'Production Inventory'!$I68&amp;"")</f>
        <v/>
      </c>
      <c r="H77" s="28" t="str">
        <f>IF('Production Inventory'!$C68="","",'Production Inventory'!$K68&amp;"")</f>
        <v/>
      </c>
      <c r="I77" s="28" t="str">
        <f>IF('Production Inventory'!$C68="","",'Production Inventory'!$M68&amp;"")</f>
        <v/>
      </c>
      <c r="J77" s="17" t="str">
        <f>IF('Production Inventory'!$O68="","",HYPERLINK('Production Inventory'!$O68,"Jira"))</f>
        <v/>
      </c>
      <c r="K77" s="17" t="str">
        <f>IF('Production Inventory'!$P68="","",HYPERLINK('Production Inventory'!$P68,"ClickUp"))</f>
        <v/>
      </c>
      <c r="L77" s="17" t="str">
        <f>IF('Production Inventory'!$Q68="","",HYPERLINK('Production Inventory'!$Q68,"Bluecore"))</f>
        <v/>
      </c>
    </row>
    <row r="78" spans="1:12" ht="24" customHeight="1">
      <c r="A78" s="23" t="str">
        <f>IF('Production Inventory'!$C69="","",'Production Inventory'!$A69)</f>
        <v/>
      </c>
      <c r="B78" s="5" t="str">
        <f>IF('Production Inventory'!$C69="","",'Production Inventory'!$B69&amp;"")</f>
        <v/>
      </c>
      <c r="C78" s="4" t="str">
        <f>IF('Production Inventory'!$C69="","",'Production Inventory'!$C69&amp;"")</f>
        <v/>
      </c>
      <c r="D78" s="4" t="str">
        <f>IF('Production Inventory'!$C69="","",'Production Inventory'!$D69&amp;"")</f>
        <v/>
      </c>
      <c r="E78" s="4" t="str">
        <f>IF('Production Inventory'!$C69="","",'Production Inventory'!$E69&amp;"")</f>
        <v/>
      </c>
      <c r="F78" s="4" t="str">
        <f>IF('Production Inventory'!$C69="","",'Production Inventory'!$F69&amp;"")</f>
        <v/>
      </c>
      <c r="G78" s="28" t="str">
        <f>IF('Production Inventory'!$C69="","",'Production Inventory'!$I69&amp;"")</f>
        <v/>
      </c>
      <c r="H78" s="28" t="str">
        <f>IF('Production Inventory'!$C69="","",'Production Inventory'!$K69&amp;"")</f>
        <v/>
      </c>
      <c r="I78" s="28" t="str">
        <f>IF('Production Inventory'!$C69="","",'Production Inventory'!$M69&amp;"")</f>
        <v/>
      </c>
      <c r="J78" s="17" t="str">
        <f>IF('Production Inventory'!$O69="","",HYPERLINK('Production Inventory'!$O69,"Jira"))</f>
        <v/>
      </c>
      <c r="K78" s="17" t="str">
        <f>IF('Production Inventory'!$P69="","",HYPERLINK('Production Inventory'!$P69,"ClickUp"))</f>
        <v/>
      </c>
      <c r="L78" s="17" t="str">
        <f>IF('Production Inventory'!$Q69="","",HYPERLINK('Production Inventory'!$Q69,"Bluecore"))</f>
        <v/>
      </c>
    </row>
    <row r="79" spans="1:12" ht="24" customHeight="1">
      <c r="A79" s="23" t="str">
        <f>IF('Production Inventory'!$C70="","",'Production Inventory'!$A70)</f>
        <v/>
      </c>
      <c r="B79" s="5" t="str">
        <f>IF('Production Inventory'!$C70="","",'Production Inventory'!$B70&amp;"")</f>
        <v/>
      </c>
      <c r="C79" s="4" t="str">
        <f>IF('Production Inventory'!$C70="","",'Production Inventory'!$C70&amp;"")</f>
        <v/>
      </c>
      <c r="D79" s="4" t="str">
        <f>IF('Production Inventory'!$C70="","",'Production Inventory'!$D70&amp;"")</f>
        <v/>
      </c>
      <c r="E79" s="4" t="str">
        <f>IF('Production Inventory'!$C70="","",'Production Inventory'!$E70&amp;"")</f>
        <v/>
      </c>
      <c r="F79" s="4" t="str">
        <f>IF('Production Inventory'!$C70="","",'Production Inventory'!$F70&amp;"")</f>
        <v/>
      </c>
      <c r="G79" s="28" t="str">
        <f>IF('Production Inventory'!$C70="","",'Production Inventory'!$I70&amp;"")</f>
        <v/>
      </c>
      <c r="H79" s="28" t="str">
        <f>IF('Production Inventory'!$C70="","",'Production Inventory'!$K70&amp;"")</f>
        <v/>
      </c>
      <c r="I79" s="28" t="str">
        <f>IF('Production Inventory'!$C70="","",'Production Inventory'!$M70&amp;"")</f>
        <v/>
      </c>
      <c r="J79" s="17" t="str">
        <f>IF('Production Inventory'!$O70="","",HYPERLINK('Production Inventory'!$O70,"Jira"))</f>
        <v/>
      </c>
      <c r="K79" s="17" t="str">
        <f>IF('Production Inventory'!$P70="","",HYPERLINK('Production Inventory'!$P70,"ClickUp"))</f>
        <v/>
      </c>
      <c r="L79" s="17" t="str">
        <f>IF('Production Inventory'!$Q70="","",HYPERLINK('Production Inventory'!$Q70,"Bluecore"))</f>
        <v/>
      </c>
    </row>
    <row r="80" spans="1:12" ht="24" customHeight="1">
      <c r="A80" s="23" t="str">
        <f>IF('Production Inventory'!$C71="","",'Production Inventory'!$A71)</f>
        <v/>
      </c>
      <c r="B80" s="5" t="str">
        <f>IF('Production Inventory'!$C71="","",'Production Inventory'!$B71&amp;"")</f>
        <v/>
      </c>
      <c r="C80" s="4" t="str">
        <f>IF('Production Inventory'!$C71="","",'Production Inventory'!$C71&amp;"")</f>
        <v/>
      </c>
      <c r="D80" s="4" t="str">
        <f>IF('Production Inventory'!$C71="","",'Production Inventory'!$D71&amp;"")</f>
        <v/>
      </c>
      <c r="E80" s="4" t="str">
        <f>IF('Production Inventory'!$C71="","",'Production Inventory'!$E71&amp;"")</f>
        <v/>
      </c>
      <c r="F80" s="4" t="str">
        <f>IF('Production Inventory'!$C71="","",'Production Inventory'!$F71&amp;"")</f>
        <v/>
      </c>
      <c r="G80" s="28" t="str">
        <f>IF('Production Inventory'!$C71="","",'Production Inventory'!$I71&amp;"")</f>
        <v/>
      </c>
      <c r="H80" s="28" t="str">
        <f>IF('Production Inventory'!$C71="","",'Production Inventory'!$K71&amp;"")</f>
        <v/>
      </c>
      <c r="I80" s="28" t="str">
        <f>IF('Production Inventory'!$C71="","",'Production Inventory'!$M71&amp;"")</f>
        <v/>
      </c>
      <c r="J80" s="17" t="str">
        <f>IF('Production Inventory'!$O71="","",HYPERLINK('Production Inventory'!$O71,"Jira"))</f>
        <v/>
      </c>
      <c r="K80" s="17" t="str">
        <f>IF('Production Inventory'!$P71="","",HYPERLINK('Production Inventory'!$P71,"ClickUp"))</f>
        <v/>
      </c>
      <c r="L80" s="17" t="str">
        <f>IF('Production Inventory'!$Q71="","",HYPERLINK('Production Inventory'!$Q71,"Bluecore"))</f>
        <v/>
      </c>
    </row>
    <row r="81" spans="1:12" ht="24" customHeight="1">
      <c r="A81" s="23" t="str">
        <f>IF('Production Inventory'!$C72="","",'Production Inventory'!$A72)</f>
        <v/>
      </c>
      <c r="B81" s="5" t="str">
        <f>IF('Production Inventory'!$C72="","",'Production Inventory'!$B72&amp;"")</f>
        <v/>
      </c>
      <c r="C81" s="4" t="str">
        <f>IF('Production Inventory'!$C72="","",'Production Inventory'!$C72&amp;"")</f>
        <v/>
      </c>
      <c r="D81" s="4" t="str">
        <f>IF('Production Inventory'!$C72="","",'Production Inventory'!$D72&amp;"")</f>
        <v/>
      </c>
      <c r="E81" s="4" t="str">
        <f>IF('Production Inventory'!$C72="","",'Production Inventory'!$E72&amp;"")</f>
        <v/>
      </c>
      <c r="F81" s="4" t="str">
        <f>IF('Production Inventory'!$C72="","",'Production Inventory'!$F72&amp;"")</f>
        <v/>
      </c>
      <c r="G81" s="28" t="str">
        <f>IF('Production Inventory'!$C72="","",'Production Inventory'!$I72&amp;"")</f>
        <v/>
      </c>
      <c r="H81" s="28" t="str">
        <f>IF('Production Inventory'!$C72="","",'Production Inventory'!$K72&amp;"")</f>
        <v/>
      </c>
      <c r="I81" s="28" t="str">
        <f>IF('Production Inventory'!$C72="","",'Production Inventory'!$M72&amp;"")</f>
        <v/>
      </c>
      <c r="J81" s="17" t="str">
        <f>IF('Production Inventory'!$O72="","",HYPERLINK('Production Inventory'!$O72,"Jira"))</f>
        <v/>
      </c>
      <c r="K81" s="17" t="str">
        <f>IF('Production Inventory'!$P72="","",HYPERLINK('Production Inventory'!$P72,"ClickUp"))</f>
        <v/>
      </c>
      <c r="L81" s="17" t="str">
        <f>IF('Production Inventory'!$Q72="","",HYPERLINK('Production Inventory'!$Q72,"Bluecore"))</f>
        <v/>
      </c>
    </row>
    <row r="82" spans="1:12" ht="24" customHeight="1">
      <c r="A82" s="23" t="str">
        <f>IF('Production Inventory'!$C73="","",'Production Inventory'!$A73)</f>
        <v/>
      </c>
      <c r="B82" s="5" t="str">
        <f>IF('Production Inventory'!$C73="","",'Production Inventory'!$B73&amp;"")</f>
        <v/>
      </c>
      <c r="C82" s="4" t="str">
        <f>IF('Production Inventory'!$C73="","",'Production Inventory'!$C73&amp;"")</f>
        <v/>
      </c>
      <c r="D82" s="4" t="str">
        <f>IF('Production Inventory'!$C73="","",'Production Inventory'!$D73&amp;"")</f>
        <v/>
      </c>
      <c r="E82" s="4" t="str">
        <f>IF('Production Inventory'!$C73="","",'Production Inventory'!$E73&amp;"")</f>
        <v/>
      </c>
      <c r="F82" s="4" t="str">
        <f>IF('Production Inventory'!$C73="","",'Production Inventory'!$F73&amp;"")</f>
        <v/>
      </c>
      <c r="G82" s="28" t="str">
        <f>IF('Production Inventory'!$C73="","",'Production Inventory'!$I73&amp;"")</f>
        <v/>
      </c>
      <c r="H82" s="28" t="str">
        <f>IF('Production Inventory'!$C73="","",'Production Inventory'!$K73&amp;"")</f>
        <v/>
      </c>
      <c r="I82" s="28" t="str">
        <f>IF('Production Inventory'!$C73="","",'Production Inventory'!$M73&amp;"")</f>
        <v/>
      </c>
      <c r="J82" s="17" t="str">
        <f>IF('Production Inventory'!$O73="","",HYPERLINK('Production Inventory'!$O73,"Jira"))</f>
        <v/>
      </c>
      <c r="K82" s="17" t="str">
        <f>IF('Production Inventory'!$P73="","",HYPERLINK('Production Inventory'!$P73,"ClickUp"))</f>
        <v/>
      </c>
      <c r="L82" s="17" t="str">
        <f>IF('Production Inventory'!$Q73="","",HYPERLINK('Production Inventory'!$Q73,"Bluecore"))</f>
        <v/>
      </c>
    </row>
    <row r="83" spans="1:12" ht="24" customHeight="1">
      <c r="A83" s="23" t="str">
        <f>IF('Production Inventory'!$C74="","",'Production Inventory'!$A74)</f>
        <v/>
      </c>
      <c r="B83" s="5" t="str">
        <f>IF('Production Inventory'!$C74="","",'Production Inventory'!$B74&amp;"")</f>
        <v/>
      </c>
      <c r="C83" s="4" t="str">
        <f>IF('Production Inventory'!$C74="","",'Production Inventory'!$C74&amp;"")</f>
        <v/>
      </c>
      <c r="D83" s="4" t="str">
        <f>IF('Production Inventory'!$C74="","",'Production Inventory'!$D74&amp;"")</f>
        <v/>
      </c>
      <c r="E83" s="4" t="str">
        <f>IF('Production Inventory'!$C74="","",'Production Inventory'!$E74&amp;"")</f>
        <v/>
      </c>
      <c r="F83" s="4" t="str">
        <f>IF('Production Inventory'!$C74="","",'Production Inventory'!$F74&amp;"")</f>
        <v/>
      </c>
      <c r="G83" s="28" t="str">
        <f>IF('Production Inventory'!$C74="","",'Production Inventory'!$I74&amp;"")</f>
        <v/>
      </c>
      <c r="H83" s="28" t="str">
        <f>IF('Production Inventory'!$C74="","",'Production Inventory'!$K74&amp;"")</f>
        <v/>
      </c>
      <c r="I83" s="28" t="str">
        <f>IF('Production Inventory'!$C74="","",'Production Inventory'!$M74&amp;"")</f>
        <v/>
      </c>
      <c r="J83" s="17" t="str">
        <f>IF('Production Inventory'!$O74="","",HYPERLINK('Production Inventory'!$O74,"Jira"))</f>
        <v/>
      </c>
      <c r="K83" s="17" t="str">
        <f>IF('Production Inventory'!$P74="","",HYPERLINK('Production Inventory'!$P74,"ClickUp"))</f>
        <v/>
      </c>
      <c r="L83" s="17" t="str">
        <f>IF('Production Inventory'!$Q74="","",HYPERLINK('Production Inventory'!$Q74,"Bluecore"))</f>
        <v/>
      </c>
    </row>
    <row r="84" spans="1:12" ht="24" customHeight="1">
      <c r="A84" s="23" t="str">
        <f>IF('Production Inventory'!$C75="","",'Production Inventory'!$A75)</f>
        <v/>
      </c>
      <c r="B84" s="5" t="str">
        <f>IF('Production Inventory'!$C75="","",'Production Inventory'!$B75&amp;"")</f>
        <v/>
      </c>
      <c r="C84" s="4" t="str">
        <f>IF('Production Inventory'!$C75="","",'Production Inventory'!$C75&amp;"")</f>
        <v/>
      </c>
      <c r="D84" s="4" t="str">
        <f>IF('Production Inventory'!$C75="","",'Production Inventory'!$D75&amp;"")</f>
        <v/>
      </c>
      <c r="E84" s="4" t="str">
        <f>IF('Production Inventory'!$C75="","",'Production Inventory'!$E75&amp;"")</f>
        <v/>
      </c>
      <c r="F84" s="4" t="str">
        <f>IF('Production Inventory'!$C75="","",'Production Inventory'!$F75&amp;"")</f>
        <v/>
      </c>
      <c r="G84" s="28" t="str">
        <f>IF('Production Inventory'!$C75="","",'Production Inventory'!$I75&amp;"")</f>
        <v/>
      </c>
      <c r="H84" s="28" t="str">
        <f>IF('Production Inventory'!$C75="","",'Production Inventory'!$K75&amp;"")</f>
        <v/>
      </c>
      <c r="I84" s="28" t="str">
        <f>IF('Production Inventory'!$C75="","",'Production Inventory'!$M75&amp;"")</f>
        <v/>
      </c>
      <c r="J84" s="17" t="str">
        <f>IF('Production Inventory'!$O75="","",HYPERLINK('Production Inventory'!$O75,"Jira"))</f>
        <v/>
      </c>
      <c r="K84" s="17" t="str">
        <f>IF('Production Inventory'!$P75="","",HYPERLINK('Production Inventory'!$P75,"ClickUp"))</f>
        <v/>
      </c>
      <c r="L84" s="17" t="str">
        <f>IF('Production Inventory'!$Q75="","",HYPERLINK('Production Inventory'!$Q75,"Bluecore"))</f>
        <v/>
      </c>
    </row>
    <row r="85" spans="1:12" ht="24" customHeight="1">
      <c r="A85" s="23" t="str">
        <f>IF('Production Inventory'!$C76="","",'Production Inventory'!$A76)</f>
        <v/>
      </c>
      <c r="B85" s="5" t="str">
        <f>IF('Production Inventory'!$C76="","",'Production Inventory'!$B76&amp;"")</f>
        <v/>
      </c>
      <c r="C85" s="4" t="str">
        <f>IF('Production Inventory'!$C76="","",'Production Inventory'!$C76&amp;"")</f>
        <v/>
      </c>
      <c r="D85" s="4" t="str">
        <f>IF('Production Inventory'!$C76="","",'Production Inventory'!$D76&amp;"")</f>
        <v/>
      </c>
      <c r="E85" s="4" t="str">
        <f>IF('Production Inventory'!$C76="","",'Production Inventory'!$E76&amp;"")</f>
        <v/>
      </c>
      <c r="F85" s="4" t="str">
        <f>IF('Production Inventory'!$C76="","",'Production Inventory'!$F76&amp;"")</f>
        <v/>
      </c>
      <c r="G85" s="28" t="str">
        <f>IF('Production Inventory'!$C76="","",'Production Inventory'!$I76&amp;"")</f>
        <v/>
      </c>
      <c r="H85" s="28" t="str">
        <f>IF('Production Inventory'!$C76="","",'Production Inventory'!$K76&amp;"")</f>
        <v/>
      </c>
      <c r="I85" s="28" t="str">
        <f>IF('Production Inventory'!$C76="","",'Production Inventory'!$M76&amp;"")</f>
        <v/>
      </c>
      <c r="J85" s="17" t="str">
        <f>IF('Production Inventory'!$O76="","",HYPERLINK('Production Inventory'!$O76,"Jira"))</f>
        <v/>
      </c>
      <c r="K85" s="17" t="str">
        <f>IF('Production Inventory'!$P76="","",HYPERLINK('Production Inventory'!$P76,"ClickUp"))</f>
        <v/>
      </c>
      <c r="L85" s="17" t="str">
        <f>IF('Production Inventory'!$Q76="","",HYPERLINK('Production Inventory'!$Q76,"Bluecore"))</f>
        <v/>
      </c>
    </row>
    <row r="86" spans="1:12" ht="24" customHeight="1">
      <c r="A86" s="23" t="str">
        <f>IF('Production Inventory'!$C77="","",'Production Inventory'!$A77)</f>
        <v/>
      </c>
      <c r="B86" s="5" t="str">
        <f>IF('Production Inventory'!$C77="","",'Production Inventory'!$B77&amp;"")</f>
        <v/>
      </c>
      <c r="C86" s="4" t="str">
        <f>IF('Production Inventory'!$C77="","",'Production Inventory'!$C77&amp;"")</f>
        <v/>
      </c>
      <c r="D86" s="4" t="str">
        <f>IF('Production Inventory'!$C77="","",'Production Inventory'!$D77&amp;"")</f>
        <v/>
      </c>
      <c r="E86" s="4" t="str">
        <f>IF('Production Inventory'!$C77="","",'Production Inventory'!$E77&amp;"")</f>
        <v/>
      </c>
      <c r="F86" s="4" t="str">
        <f>IF('Production Inventory'!$C77="","",'Production Inventory'!$F77&amp;"")</f>
        <v/>
      </c>
      <c r="G86" s="28" t="str">
        <f>IF('Production Inventory'!$C77="","",'Production Inventory'!$I77&amp;"")</f>
        <v/>
      </c>
      <c r="H86" s="28" t="str">
        <f>IF('Production Inventory'!$C77="","",'Production Inventory'!$K77&amp;"")</f>
        <v/>
      </c>
      <c r="I86" s="28" t="str">
        <f>IF('Production Inventory'!$C77="","",'Production Inventory'!$M77&amp;"")</f>
        <v/>
      </c>
      <c r="J86" s="17" t="str">
        <f>IF('Production Inventory'!$O77="","",HYPERLINK('Production Inventory'!$O77,"Jira"))</f>
        <v/>
      </c>
      <c r="K86" s="17" t="str">
        <f>IF('Production Inventory'!$P77="","",HYPERLINK('Production Inventory'!$P77,"ClickUp"))</f>
        <v/>
      </c>
      <c r="L86" s="17" t="str">
        <f>IF('Production Inventory'!$Q77="","",HYPERLINK('Production Inventory'!$Q77,"Bluecore"))</f>
        <v/>
      </c>
    </row>
    <row r="87" spans="1:12" ht="24" customHeight="1">
      <c r="A87" s="23" t="str">
        <f>IF('Production Inventory'!$C78="","",'Production Inventory'!$A78)</f>
        <v/>
      </c>
      <c r="B87" s="5" t="str">
        <f>IF('Production Inventory'!$C78="","",'Production Inventory'!$B78&amp;"")</f>
        <v/>
      </c>
      <c r="C87" s="4" t="str">
        <f>IF('Production Inventory'!$C78="","",'Production Inventory'!$C78&amp;"")</f>
        <v/>
      </c>
      <c r="D87" s="4" t="str">
        <f>IF('Production Inventory'!$C78="","",'Production Inventory'!$D78&amp;"")</f>
        <v/>
      </c>
      <c r="E87" s="4" t="str">
        <f>IF('Production Inventory'!$C78="","",'Production Inventory'!$E78&amp;"")</f>
        <v/>
      </c>
      <c r="F87" s="4" t="str">
        <f>IF('Production Inventory'!$C78="","",'Production Inventory'!$F78&amp;"")</f>
        <v/>
      </c>
      <c r="G87" s="28" t="str">
        <f>IF('Production Inventory'!$C78="","",'Production Inventory'!$I78&amp;"")</f>
        <v/>
      </c>
      <c r="H87" s="28" t="str">
        <f>IF('Production Inventory'!$C78="","",'Production Inventory'!$K78&amp;"")</f>
        <v/>
      </c>
      <c r="I87" s="28" t="str">
        <f>IF('Production Inventory'!$C78="","",'Production Inventory'!$M78&amp;"")</f>
        <v/>
      </c>
      <c r="J87" s="17" t="str">
        <f>IF('Production Inventory'!$O78="","",HYPERLINK('Production Inventory'!$O78,"Jira"))</f>
        <v/>
      </c>
      <c r="K87" s="17" t="str">
        <f>IF('Production Inventory'!$P78="","",HYPERLINK('Production Inventory'!$P78,"ClickUp"))</f>
        <v/>
      </c>
      <c r="L87" s="17" t="str">
        <f>IF('Production Inventory'!$Q78="","",HYPERLINK('Production Inventory'!$Q78,"Bluecore"))</f>
        <v/>
      </c>
    </row>
    <row r="88" spans="1:12" ht="24" customHeight="1">
      <c r="A88" s="23" t="str">
        <f>IF('Production Inventory'!$C79="","",'Production Inventory'!$A79)</f>
        <v/>
      </c>
      <c r="B88" s="5" t="str">
        <f>IF('Production Inventory'!$C79="","",'Production Inventory'!$B79&amp;"")</f>
        <v/>
      </c>
      <c r="C88" s="4" t="str">
        <f>IF('Production Inventory'!$C79="","",'Production Inventory'!$C79&amp;"")</f>
        <v/>
      </c>
      <c r="D88" s="4" t="str">
        <f>IF('Production Inventory'!$C79="","",'Production Inventory'!$D79&amp;"")</f>
        <v/>
      </c>
      <c r="E88" s="4" t="str">
        <f>IF('Production Inventory'!$C79="","",'Production Inventory'!$E79&amp;"")</f>
        <v/>
      </c>
      <c r="F88" s="4" t="str">
        <f>IF('Production Inventory'!$C79="","",'Production Inventory'!$F79&amp;"")</f>
        <v/>
      </c>
      <c r="G88" s="28" t="str">
        <f>IF('Production Inventory'!$C79="","",'Production Inventory'!$I79&amp;"")</f>
        <v/>
      </c>
      <c r="H88" s="28" t="str">
        <f>IF('Production Inventory'!$C79="","",'Production Inventory'!$K79&amp;"")</f>
        <v/>
      </c>
      <c r="I88" s="28" t="str">
        <f>IF('Production Inventory'!$C79="","",'Production Inventory'!$M79&amp;"")</f>
        <v/>
      </c>
      <c r="J88" s="17" t="str">
        <f>IF('Production Inventory'!$O79="","",HYPERLINK('Production Inventory'!$O79,"Jira"))</f>
        <v/>
      </c>
      <c r="K88" s="17" t="str">
        <f>IF('Production Inventory'!$P79="","",HYPERLINK('Production Inventory'!$P79,"ClickUp"))</f>
        <v/>
      </c>
      <c r="L88" s="17" t="str">
        <f>IF('Production Inventory'!$Q79="","",HYPERLINK('Production Inventory'!$Q79,"Bluecore"))</f>
        <v/>
      </c>
    </row>
    <row r="89" spans="1:12" ht="24" customHeight="1">
      <c r="A89" s="23" t="str">
        <f>IF('Production Inventory'!$C80="","",'Production Inventory'!$A80)</f>
        <v/>
      </c>
      <c r="B89" s="5" t="str">
        <f>IF('Production Inventory'!$C80="","",'Production Inventory'!$B80&amp;"")</f>
        <v/>
      </c>
      <c r="C89" s="4" t="str">
        <f>IF('Production Inventory'!$C80="","",'Production Inventory'!$C80&amp;"")</f>
        <v/>
      </c>
      <c r="D89" s="4" t="str">
        <f>IF('Production Inventory'!$C80="","",'Production Inventory'!$D80&amp;"")</f>
        <v/>
      </c>
      <c r="E89" s="4" t="str">
        <f>IF('Production Inventory'!$C80="","",'Production Inventory'!$E80&amp;"")</f>
        <v/>
      </c>
      <c r="F89" s="4" t="str">
        <f>IF('Production Inventory'!$C80="","",'Production Inventory'!$F80&amp;"")</f>
        <v/>
      </c>
      <c r="G89" s="28" t="str">
        <f>IF('Production Inventory'!$C80="","",'Production Inventory'!$I80&amp;"")</f>
        <v/>
      </c>
      <c r="H89" s="28" t="str">
        <f>IF('Production Inventory'!$C80="","",'Production Inventory'!$K80&amp;"")</f>
        <v/>
      </c>
      <c r="I89" s="28" t="str">
        <f>IF('Production Inventory'!$C80="","",'Production Inventory'!$M80&amp;"")</f>
        <v/>
      </c>
      <c r="J89" s="17" t="str">
        <f>IF('Production Inventory'!$O80="","",HYPERLINK('Production Inventory'!$O80,"Jira"))</f>
        <v/>
      </c>
      <c r="K89" s="17" t="str">
        <f>IF('Production Inventory'!$P80="","",HYPERLINK('Production Inventory'!$P80,"ClickUp"))</f>
        <v/>
      </c>
      <c r="L89" s="17" t="str">
        <f>IF('Production Inventory'!$Q80="","",HYPERLINK('Production Inventory'!$Q80,"Bluecore"))</f>
        <v/>
      </c>
    </row>
    <row r="90" spans="1:12" ht="24" customHeight="1">
      <c r="A90" s="23" t="str">
        <f>IF('Production Inventory'!$C81="","",'Production Inventory'!$A81)</f>
        <v/>
      </c>
      <c r="B90" s="5" t="str">
        <f>IF('Production Inventory'!$C81="","",'Production Inventory'!$B81&amp;"")</f>
        <v/>
      </c>
      <c r="C90" s="4" t="str">
        <f>IF('Production Inventory'!$C81="","",'Production Inventory'!$C81&amp;"")</f>
        <v/>
      </c>
      <c r="D90" s="4" t="str">
        <f>IF('Production Inventory'!$C81="","",'Production Inventory'!$D81&amp;"")</f>
        <v/>
      </c>
      <c r="E90" s="4" t="str">
        <f>IF('Production Inventory'!$C81="","",'Production Inventory'!$E81&amp;"")</f>
        <v/>
      </c>
      <c r="F90" s="4" t="str">
        <f>IF('Production Inventory'!$C81="","",'Production Inventory'!$F81&amp;"")</f>
        <v/>
      </c>
      <c r="G90" s="28" t="str">
        <f>IF('Production Inventory'!$C81="","",'Production Inventory'!$I81&amp;"")</f>
        <v/>
      </c>
      <c r="H90" s="28" t="str">
        <f>IF('Production Inventory'!$C81="","",'Production Inventory'!$K81&amp;"")</f>
        <v/>
      </c>
      <c r="I90" s="28" t="str">
        <f>IF('Production Inventory'!$C81="","",'Production Inventory'!$M81&amp;"")</f>
        <v/>
      </c>
      <c r="J90" s="17" t="str">
        <f>IF('Production Inventory'!$O81="","",HYPERLINK('Production Inventory'!$O81,"Jira"))</f>
        <v/>
      </c>
      <c r="K90" s="17" t="str">
        <f>IF('Production Inventory'!$P81="","",HYPERLINK('Production Inventory'!$P81,"ClickUp"))</f>
        <v/>
      </c>
      <c r="L90" s="17" t="str">
        <f>IF('Production Inventory'!$Q81="","",HYPERLINK('Production Inventory'!$Q81,"Bluecore"))</f>
        <v/>
      </c>
    </row>
    <row r="91" spans="1:12" ht="24" customHeight="1">
      <c r="A91" s="23" t="str">
        <f>IF('Production Inventory'!$C82="","",'Production Inventory'!$A82)</f>
        <v/>
      </c>
      <c r="B91" s="5" t="str">
        <f>IF('Production Inventory'!$C82="","",'Production Inventory'!$B82&amp;"")</f>
        <v/>
      </c>
      <c r="C91" s="4" t="str">
        <f>IF('Production Inventory'!$C82="","",'Production Inventory'!$C82&amp;"")</f>
        <v/>
      </c>
      <c r="D91" s="4" t="str">
        <f>IF('Production Inventory'!$C82="","",'Production Inventory'!$D82&amp;"")</f>
        <v/>
      </c>
      <c r="E91" s="4" t="str">
        <f>IF('Production Inventory'!$C82="","",'Production Inventory'!$E82&amp;"")</f>
        <v/>
      </c>
      <c r="F91" s="4" t="str">
        <f>IF('Production Inventory'!$C82="","",'Production Inventory'!$F82&amp;"")</f>
        <v/>
      </c>
      <c r="G91" s="28" t="str">
        <f>IF('Production Inventory'!$C82="","",'Production Inventory'!$I82&amp;"")</f>
        <v/>
      </c>
      <c r="H91" s="28" t="str">
        <f>IF('Production Inventory'!$C82="","",'Production Inventory'!$K82&amp;"")</f>
        <v/>
      </c>
      <c r="I91" s="28" t="str">
        <f>IF('Production Inventory'!$C82="","",'Production Inventory'!$M82&amp;"")</f>
        <v/>
      </c>
      <c r="J91" s="17" t="str">
        <f>IF('Production Inventory'!$O82="","",HYPERLINK('Production Inventory'!$O82,"Jira"))</f>
        <v/>
      </c>
      <c r="K91" s="17" t="str">
        <f>IF('Production Inventory'!$P82="","",HYPERLINK('Production Inventory'!$P82,"ClickUp"))</f>
        <v/>
      </c>
      <c r="L91" s="17" t="str">
        <f>IF('Production Inventory'!$Q82="","",HYPERLINK('Production Inventory'!$Q82,"Bluecore"))</f>
        <v/>
      </c>
    </row>
    <row r="92" spans="1:12" ht="24" customHeight="1">
      <c r="A92" s="23" t="str">
        <f>IF('Production Inventory'!$C83="","",'Production Inventory'!$A83)</f>
        <v/>
      </c>
      <c r="B92" s="5" t="str">
        <f>IF('Production Inventory'!$C83="","",'Production Inventory'!$B83&amp;"")</f>
        <v/>
      </c>
      <c r="C92" s="4" t="str">
        <f>IF('Production Inventory'!$C83="","",'Production Inventory'!$C83&amp;"")</f>
        <v/>
      </c>
      <c r="D92" s="4" t="str">
        <f>IF('Production Inventory'!$C83="","",'Production Inventory'!$D83&amp;"")</f>
        <v/>
      </c>
      <c r="E92" s="4" t="str">
        <f>IF('Production Inventory'!$C83="","",'Production Inventory'!$E83&amp;"")</f>
        <v/>
      </c>
      <c r="F92" s="4" t="str">
        <f>IF('Production Inventory'!$C83="","",'Production Inventory'!$F83&amp;"")</f>
        <v/>
      </c>
      <c r="G92" s="28" t="str">
        <f>IF('Production Inventory'!$C83="","",'Production Inventory'!$I83&amp;"")</f>
        <v/>
      </c>
      <c r="H92" s="28" t="str">
        <f>IF('Production Inventory'!$C83="","",'Production Inventory'!$K83&amp;"")</f>
        <v/>
      </c>
      <c r="I92" s="28" t="str">
        <f>IF('Production Inventory'!$C83="","",'Production Inventory'!$M83&amp;"")</f>
        <v/>
      </c>
      <c r="J92" s="17" t="str">
        <f>IF('Production Inventory'!$O83="","",HYPERLINK('Production Inventory'!$O83,"Jira"))</f>
        <v/>
      </c>
      <c r="K92" s="17" t="str">
        <f>IF('Production Inventory'!$P83="","",HYPERLINK('Production Inventory'!$P83,"ClickUp"))</f>
        <v/>
      </c>
      <c r="L92" s="17" t="str">
        <f>IF('Production Inventory'!$Q83="","",HYPERLINK('Production Inventory'!$Q83,"Bluecore"))</f>
        <v/>
      </c>
    </row>
    <row r="93" spans="1:12" ht="24" customHeight="1">
      <c r="A93" s="23" t="str">
        <f>IF('Production Inventory'!$C84="","",'Production Inventory'!$A84)</f>
        <v/>
      </c>
      <c r="B93" s="5" t="str">
        <f>IF('Production Inventory'!$C84="","",'Production Inventory'!$B84&amp;"")</f>
        <v/>
      </c>
      <c r="C93" s="4" t="str">
        <f>IF('Production Inventory'!$C84="","",'Production Inventory'!$C84&amp;"")</f>
        <v/>
      </c>
      <c r="D93" s="4" t="str">
        <f>IF('Production Inventory'!$C84="","",'Production Inventory'!$D84&amp;"")</f>
        <v/>
      </c>
      <c r="E93" s="4" t="str">
        <f>IF('Production Inventory'!$C84="","",'Production Inventory'!$E84&amp;"")</f>
        <v/>
      </c>
      <c r="F93" s="4" t="str">
        <f>IF('Production Inventory'!$C84="","",'Production Inventory'!$F84&amp;"")</f>
        <v/>
      </c>
      <c r="G93" s="28" t="str">
        <f>IF('Production Inventory'!$C84="","",'Production Inventory'!$I84&amp;"")</f>
        <v/>
      </c>
      <c r="H93" s="28" t="str">
        <f>IF('Production Inventory'!$C84="","",'Production Inventory'!$K84&amp;"")</f>
        <v/>
      </c>
      <c r="I93" s="28" t="str">
        <f>IF('Production Inventory'!$C84="","",'Production Inventory'!$M84&amp;"")</f>
        <v/>
      </c>
      <c r="J93" s="17" t="str">
        <f>IF('Production Inventory'!$O84="","",HYPERLINK('Production Inventory'!$O84,"Jira"))</f>
        <v/>
      </c>
      <c r="K93" s="17" t="str">
        <f>IF('Production Inventory'!$P84="","",HYPERLINK('Production Inventory'!$P84,"ClickUp"))</f>
        <v/>
      </c>
      <c r="L93" s="17" t="str">
        <f>IF('Production Inventory'!$Q84="","",HYPERLINK('Production Inventory'!$Q84,"Bluecore"))</f>
        <v/>
      </c>
    </row>
    <row r="94" spans="1:12" ht="24" customHeight="1">
      <c r="A94" s="23" t="str">
        <f>IF('Production Inventory'!$C85="","",'Production Inventory'!$A85)</f>
        <v/>
      </c>
      <c r="B94" s="5" t="str">
        <f>IF('Production Inventory'!$C85="","",'Production Inventory'!$B85&amp;"")</f>
        <v/>
      </c>
      <c r="C94" s="4" t="str">
        <f>IF('Production Inventory'!$C85="","",'Production Inventory'!$C85&amp;"")</f>
        <v/>
      </c>
      <c r="D94" s="4" t="str">
        <f>IF('Production Inventory'!$C85="","",'Production Inventory'!$D85&amp;"")</f>
        <v/>
      </c>
      <c r="E94" s="4" t="str">
        <f>IF('Production Inventory'!$C85="","",'Production Inventory'!$E85&amp;"")</f>
        <v/>
      </c>
      <c r="F94" s="4" t="str">
        <f>IF('Production Inventory'!$C85="","",'Production Inventory'!$F85&amp;"")</f>
        <v/>
      </c>
      <c r="G94" s="28" t="str">
        <f>IF('Production Inventory'!$C85="","",'Production Inventory'!$I85&amp;"")</f>
        <v/>
      </c>
      <c r="H94" s="28" t="str">
        <f>IF('Production Inventory'!$C85="","",'Production Inventory'!$K85&amp;"")</f>
        <v/>
      </c>
      <c r="I94" s="28" t="str">
        <f>IF('Production Inventory'!$C85="","",'Production Inventory'!$M85&amp;"")</f>
        <v/>
      </c>
      <c r="J94" s="17" t="str">
        <f>IF('Production Inventory'!$O85="","",HYPERLINK('Production Inventory'!$O85,"Jira"))</f>
        <v/>
      </c>
      <c r="K94" s="17" t="str">
        <f>IF('Production Inventory'!$P85="","",HYPERLINK('Production Inventory'!$P85,"ClickUp"))</f>
        <v/>
      </c>
      <c r="L94" s="17" t="str">
        <f>IF('Production Inventory'!$Q85="","",HYPERLINK('Production Inventory'!$Q85,"Bluecore"))</f>
        <v/>
      </c>
    </row>
    <row r="95" spans="1:12" ht="24" customHeight="1">
      <c r="A95" s="23" t="str">
        <f>IF('Production Inventory'!$C86="","",'Production Inventory'!$A86)</f>
        <v/>
      </c>
      <c r="B95" s="5" t="str">
        <f>IF('Production Inventory'!$C86="","",'Production Inventory'!$B86&amp;"")</f>
        <v/>
      </c>
      <c r="C95" s="4" t="str">
        <f>IF('Production Inventory'!$C86="","",'Production Inventory'!$C86&amp;"")</f>
        <v/>
      </c>
      <c r="D95" s="4" t="str">
        <f>IF('Production Inventory'!$C86="","",'Production Inventory'!$D86&amp;"")</f>
        <v/>
      </c>
      <c r="E95" s="4" t="str">
        <f>IF('Production Inventory'!$C86="","",'Production Inventory'!$E86&amp;"")</f>
        <v/>
      </c>
      <c r="F95" s="4" t="str">
        <f>IF('Production Inventory'!$C86="","",'Production Inventory'!$F86&amp;"")</f>
        <v/>
      </c>
      <c r="G95" s="28" t="str">
        <f>IF('Production Inventory'!$C86="","",'Production Inventory'!$I86&amp;"")</f>
        <v/>
      </c>
      <c r="H95" s="28" t="str">
        <f>IF('Production Inventory'!$C86="","",'Production Inventory'!$K86&amp;"")</f>
        <v/>
      </c>
      <c r="I95" s="28" t="str">
        <f>IF('Production Inventory'!$C86="","",'Production Inventory'!$M86&amp;"")</f>
        <v/>
      </c>
      <c r="J95" s="17" t="str">
        <f>IF('Production Inventory'!$O86="","",HYPERLINK('Production Inventory'!$O86,"Jira"))</f>
        <v/>
      </c>
      <c r="K95" s="17" t="str">
        <f>IF('Production Inventory'!$P86="","",HYPERLINK('Production Inventory'!$P86,"ClickUp"))</f>
        <v/>
      </c>
      <c r="L95" s="17" t="str">
        <f>IF('Production Inventory'!$Q86="","",HYPERLINK('Production Inventory'!$Q86,"Bluecore"))</f>
        <v/>
      </c>
    </row>
    <row r="96" spans="1:12" ht="24" customHeight="1">
      <c r="A96" s="23" t="str">
        <f>IF('Production Inventory'!$C87="","",'Production Inventory'!$A87)</f>
        <v/>
      </c>
      <c r="B96" s="5" t="str">
        <f>IF('Production Inventory'!$C87="","",'Production Inventory'!$B87&amp;"")</f>
        <v/>
      </c>
      <c r="C96" s="4" t="str">
        <f>IF('Production Inventory'!$C87="","",'Production Inventory'!$C87&amp;"")</f>
        <v/>
      </c>
      <c r="D96" s="4" t="str">
        <f>IF('Production Inventory'!$C87="","",'Production Inventory'!$D87&amp;"")</f>
        <v/>
      </c>
      <c r="E96" s="4" t="str">
        <f>IF('Production Inventory'!$C87="","",'Production Inventory'!$E87&amp;"")</f>
        <v/>
      </c>
      <c r="F96" s="4" t="str">
        <f>IF('Production Inventory'!$C87="","",'Production Inventory'!$F87&amp;"")</f>
        <v/>
      </c>
      <c r="G96" s="28" t="str">
        <f>IF('Production Inventory'!$C87="","",'Production Inventory'!$I87&amp;"")</f>
        <v/>
      </c>
      <c r="H96" s="28" t="str">
        <f>IF('Production Inventory'!$C87="","",'Production Inventory'!$K87&amp;"")</f>
        <v/>
      </c>
      <c r="I96" s="28" t="str">
        <f>IF('Production Inventory'!$C87="","",'Production Inventory'!$M87&amp;"")</f>
        <v/>
      </c>
      <c r="J96" s="17" t="str">
        <f>IF('Production Inventory'!$O87="","",HYPERLINK('Production Inventory'!$O87,"Jira"))</f>
        <v/>
      </c>
      <c r="K96" s="17" t="str">
        <f>IF('Production Inventory'!$P87="","",HYPERLINK('Production Inventory'!$P87,"ClickUp"))</f>
        <v/>
      </c>
      <c r="L96" s="17" t="str">
        <f>IF('Production Inventory'!$Q87="","",HYPERLINK('Production Inventory'!$Q87,"Bluecore"))</f>
        <v/>
      </c>
    </row>
    <row r="97" spans="1:12" ht="24" customHeight="1">
      <c r="A97" s="23" t="str">
        <f>IF('Production Inventory'!$C88="","",'Production Inventory'!$A88)</f>
        <v/>
      </c>
      <c r="B97" s="5" t="str">
        <f>IF('Production Inventory'!$C88="","",'Production Inventory'!$B88&amp;"")</f>
        <v/>
      </c>
      <c r="C97" s="4" t="str">
        <f>IF('Production Inventory'!$C88="","",'Production Inventory'!$C88&amp;"")</f>
        <v/>
      </c>
      <c r="D97" s="4" t="str">
        <f>IF('Production Inventory'!$C88="","",'Production Inventory'!$D88&amp;"")</f>
        <v/>
      </c>
      <c r="E97" s="4" t="str">
        <f>IF('Production Inventory'!$C88="","",'Production Inventory'!$E88&amp;"")</f>
        <v/>
      </c>
      <c r="F97" s="4" t="str">
        <f>IF('Production Inventory'!$C88="","",'Production Inventory'!$F88&amp;"")</f>
        <v/>
      </c>
      <c r="G97" s="28" t="str">
        <f>IF('Production Inventory'!$C88="","",'Production Inventory'!$I88&amp;"")</f>
        <v/>
      </c>
      <c r="H97" s="28" t="str">
        <f>IF('Production Inventory'!$C88="","",'Production Inventory'!$K88&amp;"")</f>
        <v/>
      </c>
      <c r="I97" s="28" t="str">
        <f>IF('Production Inventory'!$C88="","",'Production Inventory'!$M88&amp;"")</f>
        <v/>
      </c>
      <c r="J97" s="17" t="str">
        <f>IF('Production Inventory'!$O88="","",HYPERLINK('Production Inventory'!$O88,"Jira"))</f>
        <v/>
      </c>
      <c r="K97" s="17" t="str">
        <f>IF('Production Inventory'!$P88="","",HYPERLINK('Production Inventory'!$P88,"ClickUp"))</f>
        <v/>
      </c>
      <c r="L97" s="17" t="str">
        <f>IF('Production Inventory'!$Q88="","",HYPERLINK('Production Inventory'!$Q88,"Bluecore"))</f>
        <v/>
      </c>
    </row>
    <row r="98" spans="1:12" ht="24" customHeight="1">
      <c r="A98" s="23" t="str">
        <f>IF('Production Inventory'!$C89="","",'Production Inventory'!$A89)</f>
        <v/>
      </c>
      <c r="B98" s="5" t="str">
        <f>IF('Production Inventory'!$C89="","",'Production Inventory'!$B89&amp;"")</f>
        <v/>
      </c>
      <c r="C98" s="4" t="str">
        <f>IF('Production Inventory'!$C89="","",'Production Inventory'!$C89&amp;"")</f>
        <v/>
      </c>
      <c r="D98" s="4" t="str">
        <f>IF('Production Inventory'!$C89="","",'Production Inventory'!$D89&amp;"")</f>
        <v/>
      </c>
      <c r="E98" s="4" t="str">
        <f>IF('Production Inventory'!$C89="","",'Production Inventory'!$E89&amp;"")</f>
        <v/>
      </c>
      <c r="F98" s="4" t="str">
        <f>IF('Production Inventory'!$C89="","",'Production Inventory'!$F89&amp;"")</f>
        <v/>
      </c>
      <c r="G98" s="28" t="str">
        <f>IF('Production Inventory'!$C89="","",'Production Inventory'!$I89&amp;"")</f>
        <v/>
      </c>
      <c r="H98" s="28" t="str">
        <f>IF('Production Inventory'!$C89="","",'Production Inventory'!$K89&amp;"")</f>
        <v/>
      </c>
      <c r="I98" s="28" t="str">
        <f>IF('Production Inventory'!$C89="","",'Production Inventory'!$M89&amp;"")</f>
        <v/>
      </c>
      <c r="J98" s="17" t="str">
        <f>IF('Production Inventory'!$O89="","",HYPERLINK('Production Inventory'!$O89,"Jira"))</f>
        <v/>
      </c>
      <c r="K98" s="17" t="str">
        <f>IF('Production Inventory'!$P89="","",HYPERLINK('Production Inventory'!$P89,"ClickUp"))</f>
        <v/>
      </c>
      <c r="L98" s="17" t="str">
        <f>IF('Production Inventory'!$Q89="","",HYPERLINK('Production Inventory'!$Q89,"Bluecore"))</f>
        <v/>
      </c>
    </row>
    <row r="99" spans="1:12" ht="24" customHeight="1">
      <c r="A99" s="23" t="str">
        <f>IF('Production Inventory'!$C90="","",'Production Inventory'!$A90)</f>
        <v/>
      </c>
      <c r="B99" s="5" t="str">
        <f>IF('Production Inventory'!$C90="","",'Production Inventory'!$B90&amp;"")</f>
        <v/>
      </c>
      <c r="C99" s="4" t="str">
        <f>IF('Production Inventory'!$C90="","",'Production Inventory'!$C90&amp;"")</f>
        <v/>
      </c>
      <c r="D99" s="4" t="str">
        <f>IF('Production Inventory'!$C90="","",'Production Inventory'!$D90&amp;"")</f>
        <v/>
      </c>
      <c r="E99" s="4" t="str">
        <f>IF('Production Inventory'!$C90="","",'Production Inventory'!$E90&amp;"")</f>
        <v/>
      </c>
      <c r="F99" s="4" t="str">
        <f>IF('Production Inventory'!$C90="","",'Production Inventory'!$F90&amp;"")</f>
        <v/>
      </c>
      <c r="G99" s="28" t="str">
        <f>IF('Production Inventory'!$C90="","",'Production Inventory'!$I90&amp;"")</f>
        <v/>
      </c>
      <c r="H99" s="28" t="str">
        <f>IF('Production Inventory'!$C90="","",'Production Inventory'!$K90&amp;"")</f>
        <v/>
      </c>
      <c r="I99" s="28" t="str">
        <f>IF('Production Inventory'!$C90="","",'Production Inventory'!$M90&amp;"")</f>
        <v/>
      </c>
      <c r="J99" s="17" t="str">
        <f>IF('Production Inventory'!$O90="","",HYPERLINK('Production Inventory'!$O90,"Jira"))</f>
        <v/>
      </c>
      <c r="K99" s="17" t="str">
        <f>IF('Production Inventory'!$P90="","",HYPERLINK('Production Inventory'!$P90,"ClickUp"))</f>
        <v/>
      </c>
      <c r="L99" s="17" t="str">
        <f>IF('Production Inventory'!$Q90="","",HYPERLINK('Production Inventory'!$Q90,"Bluecore"))</f>
        <v/>
      </c>
    </row>
    <row r="100" spans="1:12" ht="24" customHeight="1">
      <c r="A100" s="23" t="str">
        <f>IF('Production Inventory'!$C91="","",'Production Inventory'!$A91)</f>
        <v/>
      </c>
      <c r="B100" s="5" t="str">
        <f>IF('Production Inventory'!$C91="","",'Production Inventory'!$B91&amp;"")</f>
        <v/>
      </c>
      <c r="C100" s="4" t="str">
        <f>IF('Production Inventory'!$C91="","",'Production Inventory'!$C91&amp;"")</f>
        <v/>
      </c>
      <c r="D100" s="4" t="str">
        <f>IF('Production Inventory'!$C91="","",'Production Inventory'!$D91&amp;"")</f>
        <v/>
      </c>
      <c r="E100" s="4" t="str">
        <f>IF('Production Inventory'!$C91="","",'Production Inventory'!$E91&amp;"")</f>
        <v/>
      </c>
      <c r="F100" s="4" t="str">
        <f>IF('Production Inventory'!$C91="","",'Production Inventory'!$F91&amp;"")</f>
        <v/>
      </c>
      <c r="G100" s="28" t="str">
        <f>IF('Production Inventory'!$C91="","",'Production Inventory'!$I91&amp;"")</f>
        <v/>
      </c>
      <c r="H100" s="28" t="str">
        <f>IF('Production Inventory'!$C91="","",'Production Inventory'!$K91&amp;"")</f>
        <v/>
      </c>
      <c r="I100" s="28" t="str">
        <f>IF('Production Inventory'!$C91="","",'Production Inventory'!$M91&amp;"")</f>
        <v/>
      </c>
      <c r="J100" s="17" t="str">
        <f>IF('Production Inventory'!$O91="","",HYPERLINK('Production Inventory'!$O91,"Jira"))</f>
        <v/>
      </c>
      <c r="K100" s="17" t="str">
        <f>IF('Production Inventory'!$P91="","",HYPERLINK('Production Inventory'!$P91,"ClickUp"))</f>
        <v/>
      </c>
      <c r="L100" s="17" t="str">
        <f>IF('Production Inventory'!$Q91="","",HYPERLINK('Production Inventory'!$Q91,"Bluecore"))</f>
        <v/>
      </c>
    </row>
    <row r="101" spans="1:12" ht="24" customHeight="1">
      <c r="A101" s="23" t="str">
        <f>IF('Production Inventory'!$C92="","",'Production Inventory'!$A92)</f>
        <v/>
      </c>
      <c r="B101" s="5" t="str">
        <f>IF('Production Inventory'!$C92="","",'Production Inventory'!$B92&amp;"")</f>
        <v/>
      </c>
      <c r="C101" s="4" t="str">
        <f>IF('Production Inventory'!$C92="","",'Production Inventory'!$C92&amp;"")</f>
        <v/>
      </c>
      <c r="D101" s="4" t="str">
        <f>IF('Production Inventory'!$C92="","",'Production Inventory'!$D92&amp;"")</f>
        <v/>
      </c>
      <c r="E101" s="4" t="str">
        <f>IF('Production Inventory'!$C92="","",'Production Inventory'!$E92&amp;"")</f>
        <v/>
      </c>
      <c r="F101" s="4" t="str">
        <f>IF('Production Inventory'!$C92="","",'Production Inventory'!$F92&amp;"")</f>
        <v/>
      </c>
      <c r="G101" s="28" t="str">
        <f>IF('Production Inventory'!$C92="","",'Production Inventory'!$I92&amp;"")</f>
        <v/>
      </c>
      <c r="H101" s="28" t="str">
        <f>IF('Production Inventory'!$C92="","",'Production Inventory'!$K92&amp;"")</f>
        <v/>
      </c>
      <c r="I101" s="28" t="str">
        <f>IF('Production Inventory'!$C92="","",'Production Inventory'!$M92&amp;"")</f>
        <v/>
      </c>
      <c r="J101" s="17" t="str">
        <f>IF('Production Inventory'!$O92="","",HYPERLINK('Production Inventory'!$O92,"Jira"))</f>
        <v/>
      </c>
      <c r="K101" s="17" t="str">
        <f>IF('Production Inventory'!$P92="","",HYPERLINK('Production Inventory'!$P92,"ClickUp"))</f>
        <v/>
      </c>
      <c r="L101" s="17" t="str">
        <f>IF('Production Inventory'!$Q92="","",HYPERLINK('Production Inventory'!$Q92,"Bluecore"))</f>
        <v/>
      </c>
    </row>
    <row r="102" spans="1:12" ht="24" customHeight="1">
      <c r="A102" s="23" t="str">
        <f>IF('Production Inventory'!$C93="","",'Production Inventory'!$A93)</f>
        <v/>
      </c>
      <c r="B102" s="5" t="str">
        <f>IF('Production Inventory'!$C93="","",'Production Inventory'!$B93&amp;"")</f>
        <v/>
      </c>
      <c r="C102" s="4" t="str">
        <f>IF('Production Inventory'!$C93="","",'Production Inventory'!$C93&amp;"")</f>
        <v/>
      </c>
      <c r="D102" s="4" t="str">
        <f>IF('Production Inventory'!$C93="","",'Production Inventory'!$D93&amp;"")</f>
        <v/>
      </c>
      <c r="E102" s="4" t="str">
        <f>IF('Production Inventory'!$C93="","",'Production Inventory'!$E93&amp;"")</f>
        <v/>
      </c>
      <c r="F102" s="4" t="str">
        <f>IF('Production Inventory'!$C93="","",'Production Inventory'!$F93&amp;"")</f>
        <v/>
      </c>
      <c r="G102" s="28" t="str">
        <f>IF('Production Inventory'!$C93="","",'Production Inventory'!$I93&amp;"")</f>
        <v/>
      </c>
      <c r="H102" s="28" t="str">
        <f>IF('Production Inventory'!$C93="","",'Production Inventory'!$K93&amp;"")</f>
        <v/>
      </c>
      <c r="I102" s="28" t="str">
        <f>IF('Production Inventory'!$C93="","",'Production Inventory'!$M93&amp;"")</f>
        <v/>
      </c>
      <c r="J102" s="17" t="str">
        <f>IF('Production Inventory'!$O93="","",HYPERLINK('Production Inventory'!$O93,"Jira"))</f>
        <v/>
      </c>
      <c r="K102" s="17" t="str">
        <f>IF('Production Inventory'!$P93="","",HYPERLINK('Production Inventory'!$P93,"ClickUp"))</f>
        <v/>
      </c>
      <c r="L102" s="17" t="str">
        <f>IF('Production Inventory'!$Q93="","",HYPERLINK('Production Inventory'!$Q93,"Bluecore"))</f>
        <v/>
      </c>
    </row>
    <row r="103" spans="1:12" ht="24" customHeight="1">
      <c r="A103" s="23" t="str">
        <f>IF('Production Inventory'!$C94="","",'Production Inventory'!$A94)</f>
        <v/>
      </c>
      <c r="B103" s="5" t="str">
        <f>IF('Production Inventory'!$C94="","",'Production Inventory'!$B94&amp;"")</f>
        <v/>
      </c>
      <c r="C103" s="4" t="str">
        <f>IF('Production Inventory'!$C94="","",'Production Inventory'!$C94&amp;"")</f>
        <v/>
      </c>
      <c r="D103" s="4" t="str">
        <f>IF('Production Inventory'!$C94="","",'Production Inventory'!$D94&amp;"")</f>
        <v/>
      </c>
      <c r="E103" s="4" t="str">
        <f>IF('Production Inventory'!$C94="","",'Production Inventory'!$E94&amp;"")</f>
        <v/>
      </c>
      <c r="F103" s="4" t="str">
        <f>IF('Production Inventory'!$C94="","",'Production Inventory'!$F94&amp;"")</f>
        <v/>
      </c>
      <c r="G103" s="28" t="str">
        <f>IF('Production Inventory'!$C94="","",'Production Inventory'!$I94&amp;"")</f>
        <v/>
      </c>
      <c r="H103" s="28" t="str">
        <f>IF('Production Inventory'!$C94="","",'Production Inventory'!$K94&amp;"")</f>
        <v/>
      </c>
      <c r="I103" s="28" t="str">
        <f>IF('Production Inventory'!$C94="","",'Production Inventory'!$M94&amp;"")</f>
        <v/>
      </c>
      <c r="J103" s="17" t="str">
        <f>IF('Production Inventory'!$O94="","",HYPERLINK('Production Inventory'!$O94,"Jira"))</f>
        <v/>
      </c>
      <c r="K103" s="17" t="str">
        <f>IF('Production Inventory'!$P94="","",HYPERLINK('Production Inventory'!$P94,"ClickUp"))</f>
        <v/>
      </c>
      <c r="L103" s="17" t="str">
        <f>IF('Production Inventory'!$Q94="","",HYPERLINK('Production Inventory'!$Q94,"Bluecore"))</f>
        <v/>
      </c>
    </row>
    <row r="104" spans="1:12" ht="24" customHeight="1">
      <c r="A104" s="23" t="str">
        <f>IF('Production Inventory'!$C95="","",'Production Inventory'!$A95)</f>
        <v/>
      </c>
      <c r="B104" s="5" t="str">
        <f>IF('Production Inventory'!$C95="","",'Production Inventory'!$B95&amp;"")</f>
        <v/>
      </c>
      <c r="C104" s="4" t="str">
        <f>IF('Production Inventory'!$C95="","",'Production Inventory'!$C95&amp;"")</f>
        <v/>
      </c>
      <c r="D104" s="4" t="str">
        <f>IF('Production Inventory'!$C95="","",'Production Inventory'!$D95&amp;"")</f>
        <v/>
      </c>
      <c r="E104" s="4" t="str">
        <f>IF('Production Inventory'!$C95="","",'Production Inventory'!$E95&amp;"")</f>
        <v/>
      </c>
      <c r="F104" s="4" t="str">
        <f>IF('Production Inventory'!$C95="","",'Production Inventory'!$F95&amp;"")</f>
        <v/>
      </c>
      <c r="G104" s="28" t="str">
        <f>IF('Production Inventory'!$C95="","",'Production Inventory'!$I95&amp;"")</f>
        <v/>
      </c>
      <c r="H104" s="28" t="str">
        <f>IF('Production Inventory'!$C95="","",'Production Inventory'!$K95&amp;"")</f>
        <v/>
      </c>
      <c r="I104" s="28" t="str">
        <f>IF('Production Inventory'!$C95="","",'Production Inventory'!$M95&amp;"")</f>
        <v/>
      </c>
      <c r="J104" s="17" t="str">
        <f>IF('Production Inventory'!$O95="","",HYPERLINK('Production Inventory'!$O95,"Jira"))</f>
        <v/>
      </c>
      <c r="K104" s="17" t="str">
        <f>IF('Production Inventory'!$P95="","",HYPERLINK('Production Inventory'!$P95,"ClickUp"))</f>
        <v/>
      </c>
      <c r="L104" s="17" t="str">
        <f>IF('Production Inventory'!$Q95="","",HYPERLINK('Production Inventory'!$Q95,"Bluecore"))</f>
        <v/>
      </c>
    </row>
    <row r="105" spans="1:12" ht="24" customHeight="1">
      <c r="A105" s="23" t="str">
        <f>IF('Production Inventory'!$C96="","",'Production Inventory'!$A96)</f>
        <v/>
      </c>
      <c r="B105" s="5" t="str">
        <f>IF('Production Inventory'!$C96="","",'Production Inventory'!$B96&amp;"")</f>
        <v/>
      </c>
      <c r="C105" s="4" t="str">
        <f>IF('Production Inventory'!$C96="","",'Production Inventory'!$C96&amp;"")</f>
        <v/>
      </c>
      <c r="D105" s="4" t="str">
        <f>IF('Production Inventory'!$C96="","",'Production Inventory'!$D96&amp;"")</f>
        <v/>
      </c>
      <c r="E105" s="4" t="str">
        <f>IF('Production Inventory'!$C96="","",'Production Inventory'!$E96&amp;"")</f>
        <v/>
      </c>
      <c r="F105" s="4" t="str">
        <f>IF('Production Inventory'!$C96="","",'Production Inventory'!$F96&amp;"")</f>
        <v/>
      </c>
      <c r="G105" s="28" t="str">
        <f>IF('Production Inventory'!$C96="","",'Production Inventory'!$I96&amp;"")</f>
        <v/>
      </c>
      <c r="H105" s="28" t="str">
        <f>IF('Production Inventory'!$C96="","",'Production Inventory'!$K96&amp;"")</f>
        <v/>
      </c>
      <c r="I105" s="28" t="str">
        <f>IF('Production Inventory'!$C96="","",'Production Inventory'!$M96&amp;"")</f>
        <v/>
      </c>
      <c r="J105" s="17" t="str">
        <f>IF('Production Inventory'!$O96="","",HYPERLINK('Production Inventory'!$O96,"Jira"))</f>
        <v/>
      </c>
      <c r="K105" s="17" t="str">
        <f>IF('Production Inventory'!$P96="","",HYPERLINK('Production Inventory'!$P96,"ClickUp"))</f>
        <v/>
      </c>
      <c r="L105" s="17" t="str">
        <f>IF('Production Inventory'!$Q96="","",HYPERLINK('Production Inventory'!$Q96,"Bluecore"))</f>
        <v/>
      </c>
    </row>
    <row r="106" spans="1:12" ht="24" customHeight="1">
      <c r="A106" s="23" t="str">
        <f>IF('Production Inventory'!$C97="","",'Production Inventory'!$A97)</f>
        <v/>
      </c>
      <c r="B106" s="5" t="str">
        <f>IF('Production Inventory'!$C97="","",'Production Inventory'!$B97&amp;"")</f>
        <v/>
      </c>
      <c r="C106" s="4" t="str">
        <f>IF('Production Inventory'!$C97="","",'Production Inventory'!$C97&amp;"")</f>
        <v/>
      </c>
      <c r="D106" s="4" t="str">
        <f>IF('Production Inventory'!$C97="","",'Production Inventory'!$D97&amp;"")</f>
        <v/>
      </c>
      <c r="E106" s="4" t="str">
        <f>IF('Production Inventory'!$C97="","",'Production Inventory'!$E97&amp;"")</f>
        <v/>
      </c>
      <c r="F106" s="4" t="str">
        <f>IF('Production Inventory'!$C97="","",'Production Inventory'!$F97&amp;"")</f>
        <v/>
      </c>
      <c r="G106" s="28" t="str">
        <f>IF('Production Inventory'!$C97="","",'Production Inventory'!$I97&amp;"")</f>
        <v/>
      </c>
      <c r="H106" s="28" t="str">
        <f>IF('Production Inventory'!$C97="","",'Production Inventory'!$K97&amp;"")</f>
        <v/>
      </c>
      <c r="I106" s="28" t="str">
        <f>IF('Production Inventory'!$C97="","",'Production Inventory'!$M97&amp;"")</f>
        <v/>
      </c>
      <c r="J106" s="17" t="str">
        <f>IF('Production Inventory'!$O97="","",HYPERLINK('Production Inventory'!$O97,"Jira"))</f>
        <v/>
      </c>
      <c r="K106" s="17" t="str">
        <f>IF('Production Inventory'!$P97="","",HYPERLINK('Production Inventory'!$P97,"ClickUp"))</f>
        <v/>
      </c>
      <c r="L106" s="17" t="str">
        <f>IF('Production Inventory'!$Q97="","",HYPERLINK('Production Inventory'!$Q97,"Bluecore"))</f>
        <v/>
      </c>
    </row>
    <row r="107" spans="1:12" ht="24" customHeight="1">
      <c r="A107" s="23" t="str">
        <f>IF('Production Inventory'!$C98="","",'Production Inventory'!$A98)</f>
        <v/>
      </c>
      <c r="B107" s="5" t="str">
        <f>IF('Production Inventory'!$C98="","",'Production Inventory'!$B98&amp;"")</f>
        <v/>
      </c>
      <c r="C107" s="4" t="str">
        <f>IF('Production Inventory'!$C98="","",'Production Inventory'!$C98&amp;"")</f>
        <v/>
      </c>
      <c r="D107" s="4" t="str">
        <f>IF('Production Inventory'!$C98="","",'Production Inventory'!$D98&amp;"")</f>
        <v/>
      </c>
      <c r="E107" s="4" t="str">
        <f>IF('Production Inventory'!$C98="","",'Production Inventory'!$E98&amp;"")</f>
        <v/>
      </c>
      <c r="F107" s="4" t="str">
        <f>IF('Production Inventory'!$C98="","",'Production Inventory'!$F98&amp;"")</f>
        <v/>
      </c>
      <c r="G107" s="28" t="str">
        <f>IF('Production Inventory'!$C98="","",'Production Inventory'!$I98&amp;"")</f>
        <v/>
      </c>
      <c r="H107" s="28" t="str">
        <f>IF('Production Inventory'!$C98="","",'Production Inventory'!$K98&amp;"")</f>
        <v/>
      </c>
      <c r="I107" s="28" t="str">
        <f>IF('Production Inventory'!$C98="","",'Production Inventory'!$M98&amp;"")</f>
        <v/>
      </c>
      <c r="J107" s="17" t="str">
        <f>IF('Production Inventory'!$O98="","",HYPERLINK('Production Inventory'!$O98,"Jira"))</f>
        <v/>
      </c>
      <c r="K107" s="17" t="str">
        <f>IF('Production Inventory'!$P98="","",HYPERLINK('Production Inventory'!$P98,"ClickUp"))</f>
        <v/>
      </c>
      <c r="L107" s="17" t="str">
        <f>IF('Production Inventory'!$Q98="","",HYPERLINK('Production Inventory'!$Q98,"Bluecore"))</f>
        <v/>
      </c>
    </row>
    <row r="108" spans="1:12" ht="24" customHeight="1">
      <c r="A108" s="23" t="str">
        <f>IF('Production Inventory'!$C99="","",'Production Inventory'!$A99)</f>
        <v/>
      </c>
      <c r="B108" s="5" t="str">
        <f>IF('Production Inventory'!$C99="","",'Production Inventory'!$B99&amp;"")</f>
        <v/>
      </c>
      <c r="C108" s="4" t="str">
        <f>IF('Production Inventory'!$C99="","",'Production Inventory'!$C99&amp;"")</f>
        <v/>
      </c>
      <c r="D108" s="4" t="str">
        <f>IF('Production Inventory'!$C99="","",'Production Inventory'!$D99&amp;"")</f>
        <v/>
      </c>
      <c r="E108" s="4" t="str">
        <f>IF('Production Inventory'!$C99="","",'Production Inventory'!$E99&amp;"")</f>
        <v/>
      </c>
      <c r="F108" s="4" t="str">
        <f>IF('Production Inventory'!$C99="","",'Production Inventory'!$F99&amp;"")</f>
        <v/>
      </c>
      <c r="G108" s="28" t="str">
        <f>IF('Production Inventory'!$C99="","",'Production Inventory'!$I99&amp;"")</f>
        <v/>
      </c>
      <c r="H108" s="28" t="str">
        <f>IF('Production Inventory'!$C99="","",'Production Inventory'!$K99&amp;"")</f>
        <v/>
      </c>
      <c r="I108" s="28" t="str">
        <f>IF('Production Inventory'!$C99="","",'Production Inventory'!$M99&amp;"")</f>
        <v/>
      </c>
      <c r="J108" s="17" t="str">
        <f>IF('Production Inventory'!$O99="","",HYPERLINK('Production Inventory'!$O99,"Jira"))</f>
        <v/>
      </c>
      <c r="K108" s="17" t="str">
        <f>IF('Production Inventory'!$P99="","",HYPERLINK('Production Inventory'!$P99,"ClickUp"))</f>
        <v/>
      </c>
      <c r="L108" s="17" t="str">
        <f>IF('Production Inventory'!$Q99="","",HYPERLINK('Production Inventory'!$Q99,"Bluecore"))</f>
        <v/>
      </c>
    </row>
    <row r="109" spans="1:12" ht="24" customHeight="1">
      <c r="A109" s="23" t="str">
        <f>IF('Production Inventory'!$C100="","",'Production Inventory'!$A100)</f>
        <v/>
      </c>
      <c r="B109" s="5" t="str">
        <f>IF('Production Inventory'!$C100="","",'Production Inventory'!$B100&amp;"")</f>
        <v/>
      </c>
      <c r="C109" s="4" t="str">
        <f>IF('Production Inventory'!$C100="","",'Production Inventory'!$C100&amp;"")</f>
        <v/>
      </c>
      <c r="D109" s="4" t="str">
        <f>IF('Production Inventory'!$C100="","",'Production Inventory'!$D100&amp;"")</f>
        <v/>
      </c>
      <c r="E109" s="4" t="str">
        <f>IF('Production Inventory'!$C100="","",'Production Inventory'!$E100&amp;"")</f>
        <v/>
      </c>
      <c r="F109" s="4" t="str">
        <f>IF('Production Inventory'!$C100="","",'Production Inventory'!$F100&amp;"")</f>
        <v/>
      </c>
      <c r="G109" s="28" t="str">
        <f>IF('Production Inventory'!$C100="","",'Production Inventory'!$I100&amp;"")</f>
        <v/>
      </c>
      <c r="H109" s="28" t="str">
        <f>IF('Production Inventory'!$C100="","",'Production Inventory'!$K100&amp;"")</f>
        <v/>
      </c>
      <c r="I109" s="28" t="str">
        <f>IF('Production Inventory'!$C100="","",'Production Inventory'!$M100&amp;"")</f>
        <v/>
      </c>
      <c r="J109" s="17" t="str">
        <f>IF('Production Inventory'!$O100="","",HYPERLINK('Production Inventory'!$O100,"Jira"))</f>
        <v/>
      </c>
      <c r="K109" s="17" t="str">
        <f>IF('Production Inventory'!$P100="","",HYPERLINK('Production Inventory'!$P100,"ClickUp"))</f>
        <v/>
      </c>
      <c r="L109" s="17" t="str">
        <f>IF('Production Inventory'!$Q100="","",HYPERLINK('Production Inventory'!$Q100,"Bluecore"))</f>
        <v/>
      </c>
    </row>
    <row r="110" spans="1:12" ht="24" customHeight="1">
      <c r="A110" s="26" t="str">
        <f>IF('Production Inventory'!$C101="","",'Production Inventory'!$A101)</f>
        <v/>
      </c>
      <c r="B110" s="15" t="str">
        <f>IF('Production Inventory'!$C101="","",'Production Inventory'!$B101&amp;"")</f>
        <v/>
      </c>
      <c r="C110" s="12" t="str">
        <f>IF('Production Inventory'!$C101="","",'Production Inventory'!$C101&amp;"")</f>
        <v/>
      </c>
      <c r="D110" s="12" t="str">
        <f>IF('Production Inventory'!$C101="","",'Production Inventory'!$D101&amp;"")</f>
        <v/>
      </c>
      <c r="E110" s="12" t="str">
        <f>IF('Production Inventory'!$C101="","",'Production Inventory'!$E101&amp;"")</f>
        <v/>
      </c>
      <c r="F110" s="12" t="str">
        <f>IF('Production Inventory'!$C101="","",'Production Inventory'!$F101&amp;"")</f>
        <v/>
      </c>
      <c r="G110" s="29" t="str">
        <f>IF('Production Inventory'!$C101="","",'Production Inventory'!$I101&amp;"")</f>
        <v/>
      </c>
      <c r="H110" s="29" t="str">
        <f>IF('Production Inventory'!$C101="","",'Production Inventory'!$K101&amp;"")</f>
        <v/>
      </c>
      <c r="I110" s="29" t="str">
        <f>IF('Production Inventory'!$C101="","",'Production Inventory'!$M101&amp;"")</f>
        <v/>
      </c>
      <c r="J110" s="18" t="str">
        <f>IF('Production Inventory'!$O101="","",HYPERLINK('Production Inventory'!$O101,"Jira"))</f>
        <v/>
      </c>
      <c r="K110" s="18" t="str">
        <f>IF('Production Inventory'!$P101="","",HYPERLINK('Production Inventory'!$P101,"ClickUp"))</f>
        <v/>
      </c>
      <c r="L110" s="18" t="str">
        <f>IF('Production Inventory'!$Q101="","",HYPERLINK('Production Inventory'!$Q101,"Bluecore"))</f>
        <v/>
      </c>
    </row>
    <row r="113" spans="1:4" ht="15">
      <c r="A113" s="43" t="s">
        <v>68</v>
      </c>
      <c r="B113" s="43"/>
      <c r="C113" s="43"/>
      <c r="D113" s="43"/>
    </row>
    <row r="114" spans="1:4" ht="15">
      <c r="A114" s="7" t="s">
        <v>69</v>
      </c>
      <c r="B114" s="7" t="s">
        <v>70</v>
      </c>
      <c r="C114" s="7" t="s">
        <v>71</v>
      </c>
      <c r="D114" s="7" t="s">
        <v>72</v>
      </c>
    </row>
    <row r="115" spans="1:4" ht="28.5">
      <c r="A115" s="19" t="s">
        <v>129</v>
      </c>
      <c r="B115" s="19" t="s">
        <v>73</v>
      </c>
      <c r="C115" s="19" t="s">
        <v>74</v>
      </c>
      <c r="D115" s="20">
        <f ca="1">COUNTIFS('Production Inventory'!A:A,TODAY(),'Production Inventory'!C:C,"&lt;&gt;")</f>
        <v>1</v>
      </c>
    </row>
    <row r="116" spans="1:4" ht="28.5">
      <c r="A116" s="19" t="s">
        <v>130</v>
      </c>
      <c r="B116" s="19" t="s">
        <v>131</v>
      </c>
      <c r="C116" s="19" t="s">
        <v>132</v>
      </c>
      <c r="D116" s="20">
        <f>COUNTIFS('Production Inventory'!C:C,"&lt;&gt;",'Production Inventory'!G:G,"&lt;&gt;☑")</f>
        <v>7</v>
      </c>
    </row>
    <row r="117" spans="1:4" ht="28.5">
      <c r="A117" s="19" t="s">
        <v>133</v>
      </c>
      <c r="B117" s="19" t="s">
        <v>134</v>
      </c>
      <c r="C117" s="19" t="s">
        <v>135</v>
      </c>
      <c r="D117" s="20">
        <f>COUNTIFS('Production Inventory'!C:C,"&lt;&gt;",'Production Inventory'!H:H,"&lt;&gt;☑")</f>
        <v>7</v>
      </c>
    </row>
    <row r="118" spans="1:4" ht="28.5">
      <c r="A118" s="19" t="s">
        <v>136</v>
      </c>
      <c r="B118" s="19" t="s">
        <v>137</v>
      </c>
      <c r="C118" s="19" t="s">
        <v>138</v>
      </c>
      <c r="D118" s="20">
        <f>COUNTIFS('Production Inventory'!C:C,"&lt;&gt;",'Production Inventory'!K:K,"&lt;&gt;☑")</f>
        <v>7</v>
      </c>
    </row>
    <row r="119" spans="1:4" ht="28.5">
      <c r="A119" s="19" t="s">
        <v>122</v>
      </c>
      <c r="B119" s="19" t="s">
        <v>139</v>
      </c>
      <c r="C119" s="19" t="s">
        <v>140</v>
      </c>
      <c r="D119" s="20">
        <f>COUNTIFS('Production Inventory'!C:C,"&lt;&gt;",'Production Inventory'!M:M,"&lt;&gt;☑")</f>
        <v>7</v>
      </c>
    </row>
  </sheetData>
  <mergeCells count="23"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A9:L9"/>
    <mergeCell ref="A113:D113"/>
    <mergeCell ref="I6:J6"/>
    <mergeCell ref="K4:L4"/>
    <mergeCell ref="K5:L5"/>
    <mergeCell ref="K6:L6"/>
    <mergeCell ref="A8:L8"/>
  </mergeCells>
  <conditionalFormatting sqref="B6 B8">
    <cfRule type="cellIs" dxfId="72" priority="1" operator="greaterThan">
      <formula>0</formula>
    </cfRule>
  </conditionalFormatting>
  <conditionalFormatting sqref="B8">
    <cfRule type="cellIs" dxfId="71" priority="2" operator="greaterThan">
      <formula>0</formula>
    </cfRule>
  </conditionalFormatting>
  <conditionalFormatting sqref="B9">
    <cfRule type="cellIs" dxfId="70" priority="3" operator="greaterThan">
      <formula>0</formula>
    </cfRule>
  </conditionalFormatting>
  <conditionalFormatting sqref="E11:E110">
    <cfRule type="expression" dxfId="69" priority="10">
      <formula>E11="Scheduled"</formula>
    </cfRule>
    <cfRule type="expression" dxfId="68" priority="11">
      <formula>E11="Sent"</formula>
    </cfRule>
    <cfRule type="expression" dxfId="67" priority="12">
      <formula>E11="Blocked"</formula>
    </cfRule>
  </conditionalFormatting>
  <conditionalFormatting sqref="G11:G110">
    <cfRule type="expression" dxfId="66" priority="4">
      <formula>G11="Critical"</formula>
    </cfRule>
    <cfRule type="expression" dxfId="65" priority="5">
      <formula>G11="High Risk"</formula>
    </cfRule>
    <cfRule type="expression" dxfId="64" priority="6">
      <formula>G11="At Risk"</formula>
    </cfRule>
    <cfRule type="expression" dxfId="63" priority="7">
      <formula>G11="Blocked"</formula>
    </cfRule>
    <cfRule type="expression" dxfId="62" priority="8">
      <formula>G11="Ready"</formula>
    </cfRule>
    <cfRule type="expression" dxfId="61" priority="9">
      <formula>G11="Complete"</formula>
    </cfRule>
  </conditionalFormatting>
  <hyperlinks>
    <hyperlink ref="A7" location="'January Calendar'!A1" display="Jan" xr:uid="{0DB41601-2809-49C1-BD18-6524C0C355B0}"/>
    <hyperlink ref="B7" location="'February Calendar'!A1" display="Feb" xr:uid="{D560CE5C-06C4-40C3-8335-3D03B5F06897}"/>
    <hyperlink ref="C7" location="'March Calendar'!A1" display="Mar" xr:uid="{85954C4B-7A7F-40C5-B2B8-664FF553E0A4}"/>
    <hyperlink ref="D7" location="'April Calendar'!A1" display="Apr" xr:uid="{B1AC263C-984F-4D51-8197-BA62BC5F7F50}"/>
    <hyperlink ref="E7" location="'May Calendar'!A1" display="May" xr:uid="{7754E3AB-30F9-4F84-9349-7B2DCF8929CB}"/>
    <hyperlink ref="F7" location="'June Calendar'!A1" display="Jun" xr:uid="{33A97EA8-1714-4E01-A03E-EC2AA01C383E}"/>
    <hyperlink ref="G7" location="'July Calendar'!A1" display="Jul" xr:uid="{DE642DB1-E8CA-4E73-B207-846A370B5316}"/>
    <hyperlink ref="H7" location="'August Calendar'!A1" display="Aug" xr:uid="{82DF4062-F357-45A6-A44B-15BDF165557F}"/>
    <hyperlink ref="I7" location="'September Calendar'!A1" display="Sep" xr:uid="{1C05C411-6F8C-43F6-A8CE-0099BE0D322A}"/>
    <hyperlink ref="J7" location="'October Calendar'!A1" display="Oct" xr:uid="{98E2AC0D-6290-4CEF-B0A9-3D5583852C16}"/>
    <hyperlink ref="K7" location="'November Calendar'!A1" display="Nov" xr:uid="{EE189650-D561-4066-B554-A53A4D859B88}"/>
    <hyperlink ref="L7" location="'December Calendar'!A1" display="Dec" xr:uid="{C0EE0C6B-6070-4D27-9713-79AF3BCE8778}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T201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12.625" customWidth="1"/>
    <col min="2" max="2" width="11.625" customWidth="1"/>
    <col min="3" max="3" width="34.625" customWidth="1"/>
    <col min="4" max="4" width="14.625" customWidth="1"/>
    <col min="5" max="5" width="20.625" customWidth="1"/>
    <col min="6" max="6" width="16.625" customWidth="1"/>
    <col min="7" max="7" width="22.625" customWidth="1"/>
    <col min="8" max="8" width="20.625" customWidth="1"/>
    <col min="9" max="9" width="12.625" customWidth="1"/>
    <col min="10" max="11" width="13.625" customWidth="1"/>
    <col min="12" max="12" width="12.625" customWidth="1"/>
    <col min="13" max="14" width="13.625" customWidth="1"/>
    <col min="15" max="18" width="14.625" customWidth="1"/>
    <col min="19" max="19" width="12.625" customWidth="1"/>
    <col min="20" max="21" width="20.625" customWidth="1"/>
    <col min="22" max="22" width="13" customWidth="1"/>
    <col min="23" max="23" width="19" customWidth="1"/>
  </cols>
  <sheetData>
    <row r="1" spans="1:20" s="37" customFormat="1" ht="42" customHeigh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110</v>
      </c>
      <c r="H1" s="3" t="s">
        <v>111</v>
      </c>
      <c r="I1" s="3" t="s">
        <v>112</v>
      </c>
      <c r="J1" s="3" t="s">
        <v>113</v>
      </c>
      <c r="K1" s="3" t="s">
        <v>114</v>
      </c>
      <c r="L1" s="3" t="s">
        <v>115</v>
      </c>
      <c r="M1" s="3" t="s">
        <v>116</v>
      </c>
      <c r="N1" s="3" t="s">
        <v>117</v>
      </c>
      <c r="O1" s="3" t="s">
        <v>6</v>
      </c>
      <c r="P1" s="3" t="s">
        <v>7</v>
      </c>
      <c r="Q1" s="3" t="s">
        <v>8</v>
      </c>
      <c r="R1" s="3" t="s">
        <v>9</v>
      </c>
      <c r="S1" s="3" t="s">
        <v>10</v>
      </c>
      <c r="T1" s="3" t="s">
        <v>12</v>
      </c>
    </row>
    <row r="2" spans="1:20" ht="42.75">
      <c r="A2" s="23">
        <v>46179</v>
      </c>
      <c r="B2" s="5" t="s">
        <v>13</v>
      </c>
      <c r="C2" s="4" t="s">
        <v>14</v>
      </c>
      <c r="D2" s="4" t="s">
        <v>15</v>
      </c>
      <c r="E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>Ready to Schedule</v>
      </c>
      <c r="F2" s="4" t="s">
        <v>16</v>
      </c>
      <c r="G2" s="22" t="s">
        <v>146</v>
      </c>
      <c r="H2" s="22" t="s">
        <v>146</v>
      </c>
      <c r="I2" s="22" t="s">
        <v>146</v>
      </c>
      <c r="J2" s="22" t="s">
        <v>146</v>
      </c>
      <c r="K2" s="22" t="s">
        <v>146</v>
      </c>
      <c r="L2" s="22" t="s">
        <v>146</v>
      </c>
      <c r="M2" s="22" t="s">
        <v>146</v>
      </c>
      <c r="N2" s="22" t="s">
        <v>146</v>
      </c>
      <c r="O2" s="4" t="s">
        <v>23</v>
      </c>
      <c r="P2" s="4" t="s">
        <v>24</v>
      </c>
      <c r="Q2" s="4" t="s">
        <v>25</v>
      </c>
      <c r="R2" s="6">
        <v>125000</v>
      </c>
      <c r="S2" s="6"/>
      <c r="T2" s="31">
        <f ca="1">IF(ProductionInventoryTable[[#This Row],[Campaign Name]]="","",NOW())</f>
        <v>46179.311535069442</v>
      </c>
    </row>
    <row r="3" spans="1:20" ht="42.75">
      <c r="A3" s="23">
        <v>46180</v>
      </c>
      <c r="B3" s="5" t="s">
        <v>26</v>
      </c>
      <c r="C3" s="4" t="s">
        <v>27</v>
      </c>
      <c r="D3" s="4" t="s">
        <v>28</v>
      </c>
      <c r="E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>Source Code</v>
      </c>
      <c r="F3" s="4" t="s">
        <v>29</v>
      </c>
      <c r="G3" s="22" t="s">
        <v>118</v>
      </c>
      <c r="H3" s="22" t="s">
        <v>118</v>
      </c>
      <c r="I3" s="22" t="s">
        <v>118</v>
      </c>
      <c r="J3" s="22" t="s">
        <v>118</v>
      </c>
      <c r="K3" s="22" t="s">
        <v>118</v>
      </c>
      <c r="L3" s="22" t="s">
        <v>118</v>
      </c>
      <c r="M3" s="22" t="s">
        <v>118</v>
      </c>
      <c r="N3" s="22" t="s">
        <v>118</v>
      </c>
      <c r="O3" s="4" t="s">
        <v>34</v>
      </c>
      <c r="P3" s="4" t="s">
        <v>35</v>
      </c>
      <c r="Q3" s="4" t="s">
        <v>36</v>
      </c>
      <c r="R3" s="6">
        <v>98000</v>
      </c>
      <c r="S3" s="6"/>
      <c r="T3" s="31">
        <f ca="1">IF(ProductionInventoryTable[[#This Row],[Campaign Name]]="","",NOW())</f>
        <v>46179.311535069442</v>
      </c>
    </row>
    <row r="4" spans="1:20" ht="42.75">
      <c r="A4" s="23">
        <v>46181</v>
      </c>
      <c r="B4" s="5" t="s">
        <v>37</v>
      </c>
      <c r="C4" s="4" t="s">
        <v>38</v>
      </c>
      <c r="D4" s="4" t="s">
        <v>39</v>
      </c>
      <c r="E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>Source Code</v>
      </c>
      <c r="F4" s="4" t="s">
        <v>16</v>
      </c>
      <c r="G4" s="22" t="s">
        <v>118</v>
      </c>
      <c r="H4" s="22" t="s">
        <v>118</v>
      </c>
      <c r="I4" s="22" t="s">
        <v>118</v>
      </c>
      <c r="J4" s="22" t="s">
        <v>118</v>
      </c>
      <c r="K4" s="22" t="s">
        <v>118</v>
      </c>
      <c r="L4" s="22" t="s">
        <v>118</v>
      </c>
      <c r="M4" s="22" t="s">
        <v>118</v>
      </c>
      <c r="N4" s="22" t="s">
        <v>118</v>
      </c>
      <c r="O4" s="4" t="s">
        <v>42</v>
      </c>
      <c r="P4" s="4"/>
      <c r="Q4" s="4"/>
      <c r="R4" s="6">
        <v>65000</v>
      </c>
      <c r="S4" s="6"/>
      <c r="T4" s="31">
        <f ca="1">IF(ProductionInventoryTable[[#This Row],[Campaign Name]]="","",NOW())</f>
        <v>46179.311535069442</v>
      </c>
    </row>
    <row r="5" spans="1:20" ht="42.75">
      <c r="A5" s="23">
        <v>46184</v>
      </c>
      <c r="B5" s="5" t="s">
        <v>43</v>
      </c>
      <c r="C5" s="4" t="s">
        <v>44</v>
      </c>
      <c r="D5" s="4" t="s">
        <v>45</v>
      </c>
      <c r="E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>Source Code</v>
      </c>
      <c r="F5" s="4" t="s">
        <v>46</v>
      </c>
      <c r="G5" s="22" t="s">
        <v>118</v>
      </c>
      <c r="H5" s="22" t="s">
        <v>118</v>
      </c>
      <c r="I5" s="22" t="s">
        <v>118</v>
      </c>
      <c r="J5" s="22" t="s">
        <v>118</v>
      </c>
      <c r="K5" s="22" t="s">
        <v>118</v>
      </c>
      <c r="L5" s="22" t="s">
        <v>118</v>
      </c>
      <c r="M5" s="22" t="s">
        <v>118</v>
      </c>
      <c r="N5" s="22" t="s">
        <v>118</v>
      </c>
      <c r="O5" s="4" t="s">
        <v>47</v>
      </c>
      <c r="P5" s="4"/>
      <c r="Q5" s="4"/>
      <c r="R5" s="6">
        <v>25000</v>
      </c>
      <c r="S5" s="6"/>
      <c r="T5" s="31">
        <f ca="1">IF(ProductionInventoryTable[[#This Row],[Campaign Name]]="","",NOW())</f>
        <v>46179.311535069442</v>
      </c>
    </row>
    <row r="6" spans="1:20" ht="42.75">
      <c r="A6" s="23">
        <v>46178</v>
      </c>
      <c r="B6" s="5" t="s">
        <v>48</v>
      </c>
      <c r="C6" s="4" t="s">
        <v>49</v>
      </c>
      <c r="D6" s="4" t="s">
        <v>15</v>
      </c>
      <c r="E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>Sent</v>
      </c>
      <c r="F6" s="4" t="s">
        <v>16</v>
      </c>
      <c r="G6" s="22" t="s">
        <v>118</v>
      </c>
      <c r="H6" s="22" t="s">
        <v>118</v>
      </c>
      <c r="I6" s="22" t="s">
        <v>118</v>
      </c>
      <c r="J6" s="22" t="s">
        <v>118</v>
      </c>
      <c r="K6" s="22" t="s">
        <v>118</v>
      </c>
      <c r="L6" s="22" t="s">
        <v>118</v>
      </c>
      <c r="M6" s="22" t="s">
        <v>118</v>
      </c>
      <c r="N6" s="22" t="s">
        <v>118</v>
      </c>
      <c r="O6" s="4" t="s">
        <v>50</v>
      </c>
      <c r="P6" s="4" t="s">
        <v>51</v>
      </c>
      <c r="Q6" s="4" t="s">
        <v>52</v>
      </c>
      <c r="R6" s="6">
        <v>80000</v>
      </c>
      <c r="S6" s="6">
        <v>78234</v>
      </c>
      <c r="T6" s="31">
        <f ca="1">IF(ProductionInventoryTable[[#This Row],[Campaign Name]]="","",NOW())</f>
        <v>46179.311535069442</v>
      </c>
    </row>
    <row r="7" spans="1:20" ht="42.75">
      <c r="A7" s="23">
        <v>46184</v>
      </c>
      <c r="B7" s="5" t="s">
        <v>43</v>
      </c>
      <c r="C7" s="4" t="s">
        <v>44</v>
      </c>
      <c r="D7" s="4" t="s">
        <v>45</v>
      </c>
      <c r="E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>Source Code</v>
      </c>
      <c r="F7" s="4" t="s">
        <v>46</v>
      </c>
      <c r="G7" s="22" t="s">
        <v>118</v>
      </c>
      <c r="H7" s="22" t="s">
        <v>118</v>
      </c>
      <c r="I7" s="22" t="s">
        <v>118</v>
      </c>
      <c r="J7" s="22" t="s">
        <v>118</v>
      </c>
      <c r="K7" s="22" t="s">
        <v>118</v>
      </c>
      <c r="L7" s="22" t="s">
        <v>118</v>
      </c>
      <c r="M7" s="22" t="s">
        <v>118</v>
      </c>
      <c r="N7" s="22" t="s">
        <v>118</v>
      </c>
      <c r="O7" s="4" t="s">
        <v>47</v>
      </c>
      <c r="P7" s="4"/>
      <c r="Q7" s="4"/>
      <c r="R7" s="6">
        <v>25000</v>
      </c>
      <c r="S7" s="6"/>
      <c r="T7" s="31">
        <f ca="1">IF(ProductionInventoryTable[[#This Row],[Campaign Name]]="","",NOW())</f>
        <v>46179.311535069442</v>
      </c>
    </row>
    <row r="8" spans="1:20" ht="42.75">
      <c r="A8" s="23">
        <v>46185</v>
      </c>
      <c r="B8" s="5" t="s">
        <v>43</v>
      </c>
      <c r="C8" s="4" t="s">
        <v>109</v>
      </c>
      <c r="D8" s="4" t="s">
        <v>39</v>
      </c>
      <c r="E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>Source Code</v>
      </c>
      <c r="F8" s="4" t="s">
        <v>29</v>
      </c>
      <c r="G8" s="22" t="s">
        <v>118</v>
      </c>
      <c r="H8" s="22" t="s">
        <v>118</v>
      </c>
      <c r="I8" s="22" t="s">
        <v>118</v>
      </c>
      <c r="J8" s="22" t="s">
        <v>118</v>
      </c>
      <c r="K8" s="22" t="s">
        <v>118</v>
      </c>
      <c r="L8" s="22" t="s">
        <v>118</v>
      </c>
      <c r="M8" s="22" t="s">
        <v>118</v>
      </c>
      <c r="N8" s="22" t="s">
        <v>118</v>
      </c>
      <c r="O8" s="21" t="s">
        <v>108</v>
      </c>
      <c r="P8" s="4"/>
      <c r="Q8" s="4"/>
      <c r="R8" s="6"/>
      <c r="S8" s="6"/>
      <c r="T8" s="31">
        <f ca="1">IF(ProductionInventoryTable[[#This Row],[Campaign Name]]="","",NOW())</f>
        <v>46179.311535069442</v>
      </c>
    </row>
    <row r="9" spans="1:20" ht="17.25">
      <c r="A9" s="23"/>
      <c r="B9" s="5"/>
      <c r="C9" s="4"/>
      <c r="D9" s="4"/>
      <c r="E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" s="4"/>
      <c r="G9" s="22" t="s">
        <v>118</v>
      </c>
      <c r="H9" s="22" t="s">
        <v>118</v>
      </c>
      <c r="I9" s="22" t="s">
        <v>118</v>
      </c>
      <c r="J9" s="22" t="s">
        <v>118</v>
      </c>
      <c r="K9" s="22" t="s">
        <v>118</v>
      </c>
      <c r="L9" s="22" t="s">
        <v>118</v>
      </c>
      <c r="M9" s="22" t="s">
        <v>118</v>
      </c>
      <c r="N9" s="22" t="s">
        <v>118</v>
      </c>
      <c r="O9" s="4"/>
      <c r="P9" s="4"/>
      <c r="Q9" s="4"/>
      <c r="R9" s="6"/>
      <c r="S9" s="6"/>
      <c r="T9" s="31" t="str">
        <f ca="1">IF(ProductionInventoryTable[[#This Row],[Campaign Name]]="","",NOW())</f>
        <v/>
      </c>
    </row>
    <row r="10" spans="1:20" ht="17.25">
      <c r="A10" s="23"/>
      <c r="B10" s="5"/>
      <c r="C10" s="4"/>
      <c r="D10" s="4"/>
      <c r="E1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" s="4"/>
      <c r="G10" s="22" t="s">
        <v>118</v>
      </c>
      <c r="H10" s="22" t="s">
        <v>118</v>
      </c>
      <c r="I10" s="22" t="s">
        <v>118</v>
      </c>
      <c r="J10" s="22" t="s">
        <v>118</v>
      </c>
      <c r="K10" s="22" t="s">
        <v>118</v>
      </c>
      <c r="L10" s="22" t="s">
        <v>118</v>
      </c>
      <c r="M10" s="22" t="s">
        <v>118</v>
      </c>
      <c r="N10" s="22" t="s">
        <v>118</v>
      </c>
      <c r="O10" s="4"/>
      <c r="P10" s="4"/>
      <c r="Q10" s="4"/>
      <c r="R10" s="6"/>
      <c r="S10" s="6"/>
      <c r="T10" s="31" t="str">
        <f ca="1">IF(ProductionInventoryTable[[#This Row],[Campaign Name]]="","",NOW())</f>
        <v/>
      </c>
    </row>
    <row r="11" spans="1:20" ht="17.25">
      <c r="A11" s="23"/>
      <c r="B11" s="5"/>
      <c r="C11" s="4"/>
      <c r="D11" s="4"/>
      <c r="E1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" s="4"/>
      <c r="G11" s="22" t="s">
        <v>118</v>
      </c>
      <c r="H11" s="22" t="s">
        <v>118</v>
      </c>
      <c r="I11" s="22" t="s">
        <v>118</v>
      </c>
      <c r="J11" s="22" t="s">
        <v>118</v>
      </c>
      <c r="K11" s="22" t="s">
        <v>118</v>
      </c>
      <c r="L11" s="22" t="s">
        <v>118</v>
      </c>
      <c r="M11" s="22" t="s">
        <v>118</v>
      </c>
      <c r="N11" s="22" t="s">
        <v>118</v>
      </c>
      <c r="O11" s="4"/>
      <c r="P11" s="4"/>
      <c r="Q11" s="4"/>
      <c r="R11" s="6"/>
      <c r="S11" s="6"/>
      <c r="T11" s="31" t="str">
        <f ca="1">IF(ProductionInventoryTable[[#This Row],[Campaign Name]]="","",NOW())</f>
        <v/>
      </c>
    </row>
    <row r="12" spans="1:20" ht="17.25">
      <c r="A12" s="23"/>
      <c r="B12" s="5"/>
      <c r="C12" s="4"/>
      <c r="D12" s="4"/>
      <c r="E1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" s="4"/>
      <c r="G12" s="22" t="s">
        <v>118</v>
      </c>
      <c r="H12" s="22" t="s">
        <v>118</v>
      </c>
      <c r="I12" s="22" t="s">
        <v>118</v>
      </c>
      <c r="J12" s="22" t="s">
        <v>118</v>
      </c>
      <c r="K12" s="22" t="s">
        <v>118</v>
      </c>
      <c r="L12" s="22" t="s">
        <v>118</v>
      </c>
      <c r="M12" s="22" t="s">
        <v>118</v>
      </c>
      <c r="N12" s="22" t="s">
        <v>118</v>
      </c>
      <c r="O12" s="4"/>
      <c r="P12" s="4"/>
      <c r="Q12" s="4"/>
      <c r="R12" s="6"/>
      <c r="S12" s="6"/>
      <c r="T12" s="31" t="str">
        <f ca="1">IF(ProductionInventoryTable[[#This Row],[Campaign Name]]="","",NOW())</f>
        <v/>
      </c>
    </row>
    <row r="13" spans="1:20" ht="17.25">
      <c r="A13" s="23"/>
      <c r="B13" s="5"/>
      <c r="C13" s="4"/>
      <c r="D13" s="4"/>
      <c r="E1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" s="4"/>
      <c r="G13" s="22" t="s">
        <v>118</v>
      </c>
      <c r="H13" s="22" t="s">
        <v>118</v>
      </c>
      <c r="I13" s="22" t="s">
        <v>118</v>
      </c>
      <c r="J13" s="22" t="s">
        <v>118</v>
      </c>
      <c r="K13" s="22" t="s">
        <v>118</v>
      </c>
      <c r="L13" s="22" t="s">
        <v>118</v>
      </c>
      <c r="M13" s="22" t="s">
        <v>118</v>
      </c>
      <c r="N13" s="22" t="s">
        <v>118</v>
      </c>
      <c r="O13" s="4"/>
      <c r="P13" s="4"/>
      <c r="Q13" s="4"/>
      <c r="R13" s="6"/>
      <c r="S13" s="6"/>
      <c r="T13" s="31" t="str">
        <f ca="1">IF(ProductionInventoryTable[[#This Row],[Campaign Name]]="","",NOW())</f>
        <v/>
      </c>
    </row>
    <row r="14" spans="1:20" ht="17.25">
      <c r="A14" s="23"/>
      <c r="B14" s="5"/>
      <c r="C14" s="4"/>
      <c r="D14" s="4"/>
      <c r="E1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" s="4"/>
      <c r="G14" s="22" t="s">
        <v>118</v>
      </c>
      <c r="H14" s="22" t="s">
        <v>118</v>
      </c>
      <c r="I14" s="22" t="s">
        <v>118</v>
      </c>
      <c r="J14" s="22" t="s">
        <v>118</v>
      </c>
      <c r="K14" s="22" t="s">
        <v>118</v>
      </c>
      <c r="L14" s="22" t="s">
        <v>118</v>
      </c>
      <c r="M14" s="22" t="s">
        <v>118</v>
      </c>
      <c r="N14" s="22" t="s">
        <v>118</v>
      </c>
      <c r="O14" s="4"/>
      <c r="P14" s="4"/>
      <c r="Q14" s="4"/>
      <c r="R14" s="6"/>
      <c r="S14" s="6"/>
      <c r="T14" s="31" t="str">
        <f ca="1">IF(ProductionInventoryTable[[#This Row],[Campaign Name]]="","",NOW())</f>
        <v/>
      </c>
    </row>
    <row r="15" spans="1:20" ht="17.25">
      <c r="A15" s="23"/>
      <c r="B15" s="5"/>
      <c r="C15" s="4"/>
      <c r="D15" s="4"/>
      <c r="E1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" s="4"/>
      <c r="G15" s="22" t="s">
        <v>118</v>
      </c>
      <c r="H15" s="22" t="s">
        <v>118</v>
      </c>
      <c r="I15" s="22" t="s">
        <v>118</v>
      </c>
      <c r="J15" s="22" t="s">
        <v>118</v>
      </c>
      <c r="K15" s="22" t="s">
        <v>118</v>
      </c>
      <c r="L15" s="22" t="s">
        <v>118</v>
      </c>
      <c r="M15" s="22" t="s">
        <v>118</v>
      </c>
      <c r="N15" s="22" t="s">
        <v>118</v>
      </c>
      <c r="O15" s="4"/>
      <c r="P15" s="4"/>
      <c r="Q15" s="4"/>
      <c r="R15" s="6"/>
      <c r="S15" s="6"/>
      <c r="T15" s="31" t="str">
        <f ca="1">IF(ProductionInventoryTable[[#This Row],[Campaign Name]]="","",NOW())</f>
        <v/>
      </c>
    </row>
    <row r="16" spans="1:20" ht="17.25">
      <c r="A16" s="23"/>
      <c r="B16" s="5"/>
      <c r="C16" s="4"/>
      <c r="D16" s="4"/>
      <c r="E1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" s="4"/>
      <c r="G16" s="22" t="s">
        <v>118</v>
      </c>
      <c r="H16" s="22" t="s">
        <v>118</v>
      </c>
      <c r="I16" s="22" t="s">
        <v>118</v>
      </c>
      <c r="J16" s="22" t="s">
        <v>118</v>
      </c>
      <c r="K16" s="22" t="s">
        <v>118</v>
      </c>
      <c r="L16" s="22" t="s">
        <v>118</v>
      </c>
      <c r="M16" s="22" t="s">
        <v>118</v>
      </c>
      <c r="N16" s="22" t="s">
        <v>118</v>
      </c>
      <c r="O16" s="4"/>
      <c r="P16" s="4"/>
      <c r="Q16" s="4"/>
      <c r="R16" s="6"/>
      <c r="S16" s="6"/>
      <c r="T16" s="31" t="str">
        <f ca="1">IF(ProductionInventoryTable[[#This Row],[Campaign Name]]="","",NOW())</f>
        <v/>
      </c>
    </row>
    <row r="17" spans="1:20" ht="17.25">
      <c r="A17" s="23"/>
      <c r="B17" s="5"/>
      <c r="C17" s="4"/>
      <c r="D17" s="4"/>
      <c r="E1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" s="4"/>
      <c r="G17" s="22" t="s">
        <v>118</v>
      </c>
      <c r="H17" s="22" t="s">
        <v>118</v>
      </c>
      <c r="I17" s="22" t="s">
        <v>118</v>
      </c>
      <c r="J17" s="22" t="s">
        <v>118</v>
      </c>
      <c r="K17" s="22" t="s">
        <v>118</v>
      </c>
      <c r="L17" s="22" t="s">
        <v>118</v>
      </c>
      <c r="M17" s="22" t="s">
        <v>118</v>
      </c>
      <c r="N17" s="22" t="s">
        <v>118</v>
      </c>
      <c r="O17" s="4"/>
      <c r="P17" s="4"/>
      <c r="Q17" s="4"/>
      <c r="R17" s="6"/>
      <c r="S17" s="6"/>
      <c r="T17" s="31" t="str">
        <f ca="1">IF(ProductionInventoryTable[[#This Row],[Campaign Name]]="","",NOW())</f>
        <v/>
      </c>
    </row>
    <row r="18" spans="1:20" ht="17.25">
      <c r="A18" s="23"/>
      <c r="B18" s="5"/>
      <c r="C18" s="4"/>
      <c r="D18" s="4"/>
      <c r="E1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" s="4"/>
      <c r="G18" s="22" t="s">
        <v>118</v>
      </c>
      <c r="H18" s="22" t="s">
        <v>118</v>
      </c>
      <c r="I18" s="22" t="s">
        <v>118</v>
      </c>
      <c r="J18" s="22" t="s">
        <v>118</v>
      </c>
      <c r="K18" s="22" t="s">
        <v>118</v>
      </c>
      <c r="L18" s="22" t="s">
        <v>118</v>
      </c>
      <c r="M18" s="22" t="s">
        <v>118</v>
      </c>
      <c r="N18" s="22" t="s">
        <v>118</v>
      </c>
      <c r="O18" s="4"/>
      <c r="P18" s="4"/>
      <c r="Q18" s="4"/>
      <c r="R18" s="6"/>
      <c r="S18" s="6"/>
      <c r="T18" s="31" t="str">
        <f ca="1">IF(ProductionInventoryTable[[#This Row],[Campaign Name]]="","",NOW())</f>
        <v/>
      </c>
    </row>
    <row r="19" spans="1:20" ht="17.25">
      <c r="A19" s="23"/>
      <c r="B19" s="5"/>
      <c r="C19" s="4"/>
      <c r="D19" s="4"/>
      <c r="E1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" s="4"/>
      <c r="G19" s="22" t="s">
        <v>118</v>
      </c>
      <c r="H19" s="22" t="s">
        <v>118</v>
      </c>
      <c r="I19" s="22" t="s">
        <v>118</v>
      </c>
      <c r="J19" s="22" t="s">
        <v>118</v>
      </c>
      <c r="K19" s="22" t="s">
        <v>118</v>
      </c>
      <c r="L19" s="22" t="s">
        <v>118</v>
      </c>
      <c r="M19" s="22" t="s">
        <v>118</v>
      </c>
      <c r="N19" s="22" t="s">
        <v>118</v>
      </c>
      <c r="O19" s="4"/>
      <c r="P19" s="4"/>
      <c r="Q19" s="4"/>
      <c r="R19" s="6"/>
      <c r="S19" s="6"/>
      <c r="T19" s="31" t="str">
        <f ca="1">IF(ProductionInventoryTable[[#This Row],[Campaign Name]]="","",NOW())</f>
        <v/>
      </c>
    </row>
    <row r="20" spans="1:20" ht="17.25">
      <c r="A20" s="23"/>
      <c r="B20" s="5"/>
      <c r="C20" s="4"/>
      <c r="D20" s="4"/>
      <c r="E2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0" s="4"/>
      <c r="G20" s="22" t="s">
        <v>118</v>
      </c>
      <c r="H20" s="22" t="s">
        <v>118</v>
      </c>
      <c r="I20" s="22" t="s">
        <v>118</v>
      </c>
      <c r="J20" s="22" t="s">
        <v>118</v>
      </c>
      <c r="K20" s="22" t="s">
        <v>118</v>
      </c>
      <c r="L20" s="22" t="s">
        <v>118</v>
      </c>
      <c r="M20" s="22" t="s">
        <v>118</v>
      </c>
      <c r="N20" s="22" t="s">
        <v>118</v>
      </c>
      <c r="O20" s="4"/>
      <c r="P20" s="4"/>
      <c r="Q20" s="4"/>
      <c r="R20" s="6"/>
      <c r="S20" s="6"/>
      <c r="T20" s="31" t="str">
        <f ca="1">IF(ProductionInventoryTable[[#This Row],[Campaign Name]]="","",NOW())</f>
        <v/>
      </c>
    </row>
    <row r="21" spans="1:20" ht="17.25">
      <c r="A21" s="23"/>
      <c r="B21" s="5"/>
      <c r="C21" s="4"/>
      <c r="D21" s="4"/>
      <c r="E2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1" s="4"/>
      <c r="G21" s="22" t="s">
        <v>118</v>
      </c>
      <c r="H21" s="22" t="s">
        <v>118</v>
      </c>
      <c r="I21" s="22" t="s">
        <v>118</v>
      </c>
      <c r="J21" s="22" t="s">
        <v>118</v>
      </c>
      <c r="K21" s="22" t="s">
        <v>118</v>
      </c>
      <c r="L21" s="22" t="s">
        <v>118</v>
      </c>
      <c r="M21" s="22" t="s">
        <v>118</v>
      </c>
      <c r="N21" s="22" t="s">
        <v>118</v>
      </c>
      <c r="O21" s="4"/>
      <c r="P21" s="4"/>
      <c r="Q21" s="4"/>
      <c r="R21" s="6"/>
      <c r="S21" s="6"/>
      <c r="T21" s="31" t="str">
        <f ca="1">IF(ProductionInventoryTable[[#This Row],[Campaign Name]]="","",NOW())</f>
        <v/>
      </c>
    </row>
    <row r="22" spans="1:20" ht="17.25">
      <c r="A22" s="23"/>
      <c r="B22" s="5"/>
      <c r="C22" s="4"/>
      <c r="D22" s="4"/>
      <c r="E2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2" s="4"/>
      <c r="G22" s="22" t="s">
        <v>118</v>
      </c>
      <c r="H22" s="22" t="s">
        <v>118</v>
      </c>
      <c r="I22" s="22" t="s">
        <v>118</v>
      </c>
      <c r="J22" s="22" t="s">
        <v>118</v>
      </c>
      <c r="K22" s="22" t="s">
        <v>118</v>
      </c>
      <c r="L22" s="22" t="s">
        <v>118</v>
      </c>
      <c r="M22" s="22" t="s">
        <v>118</v>
      </c>
      <c r="N22" s="22" t="s">
        <v>118</v>
      </c>
      <c r="O22" s="4"/>
      <c r="P22" s="4"/>
      <c r="Q22" s="4"/>
      <c r="R22" s="6"/>
      <c r="S22" s="6"/>
      <c r="T22" s="31" t="str">
        <f ca="1">IF(ProductionInventoryTable[[#This Row],[Campaign Name]]="","",NOW())</f>
        <v/>
      </c>
    </row>
    <row r="23" spans="1:20" ht="17.25">
      <c r="A23" s="23"/>
      <c r="B23" s="5"/>
      <c r="C23" s="4"/>
      <c r="D23" s="4"/>
      <c r="E2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3" s="4"/>
      <c r="G23" s="22" t="s">
        <v>118</v>
      </c>
      <c r="H23" s="22" t="s">
        <v>118</v>
      </c>
      <c r="I23" s="22" t="s">
        <v>118</v>
      </c>
      <c r="J23" s="22" t="s">
        <v>118</v>
      </c>
      <c r="K23" s="22" t="s">
        <v>118</v>
      </c>
      <c r="L23" s="22" t="s">
        <v>118</v>
      </c>
      <c r="M23" s="22" t="s">
        <v>118</v>
      </c>
      <c r="N23" s="22" t="s">
        <v>118</v>
      </c>
      <c r="O23" s="4"/>
      <c r="P23" s="4"/>
      <c r="Q23" s="4"/>
      <c r="R23" s="6"/>
      <c r="S23" s="6"/>
      <c r="T23" s="31" t="str">
        <f ca="1">IF(ProductionInventoryTable[[#This Row],[Campaign Name]]="","",NOW())</f>
        <v/>
      </c>
    </row>
    <row r="24" spans="1:20" ht="17.25">
      <c r="A24" s="23"/>
      <c r="B24" s="5"/>
      <c r="C24" s="4"/>
      <c r="D24" s="4"/>
      <c r="E2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4" s="4"/>
      <c r="G24" s="22" t="s">
        <v>118</v>
      </c>
      <c r="H24" s="22" t="s">
        <v>118</v>
      </c>
      <c r="I24" s="22" t="s">
        <v>118</v>
      </c>
      <c r="J24" s="22" t="s">
        <v>118</v>
      </c>
      <c r="K24" s="22" t="s">
        <v>118</v>
      </c>
      <c r="L24" s="22" t="s">
        <v>118</v>
      </c>
      <c r="M24" s="22" t="s">
        <v>118</v>
      </c>
      <c r="N24" s="22" t="s">
        <v>118</v>
      </c>
      <c r="O24" s="4"/>
      <c r="P24" s="4"/>
      <c r="Q24" s="4"/>
      <c r="R24" s="6"/>
      <c r="S24" s="6"/>
      <c r="T24" s="31" t="str">
        <f ca="1">IF(ProductionInventoryTable[[#This Row],[Campaign Name]]="","",NOW())</f>
        <v/>
      </c>
    </row>
    <row r="25" spans="1:20" ht="17.25">
      <c r="A25" s="23"/>
      <c r="B25" s="5"/>
      <c r="C25" s="4"/>
      <c r="D25" s="4"/>
      <c r="E2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5" s="4"/>
      <c r="G25" s="22" t="s">
        <v>118</v>
      </c>
      <c r="H25" s="22" t="s">
        <v>118</v>
      </c>
      <c r="I25" s="22" t="s">
        <v>118</v>
      </c>
      <c r="J25" s="22" t="s">
        <v>118</v>
      </c>
      <c r="K25" s="22" t="s">
        <v>118</v>
      </c>
      <c r="L25" s="22" t="s">
        <v>118</v>
      </c>
      <c r="M25" s="22" t="s">
        <v>118</v>
      </c>
      <c r="N25" s="22" t="s">
        <v>118</v>
      </c>
      <c r="O25" s="4"/>
      <c r="P25" s="4"/>
      <c r="Q25" s="4"/>
      <c r="R25" s="6"/>
      <c r="S25" s="6"/>
      <c r="T25" s="31" t="str">
        <f ca="1">IF(ProductionInventoryTable[[#This Row],[Campaign Name]]="","",NOW())</f>
        <v/>
      </c>
    </row>
    <row r="26" spans="1:20" ht="17.25">
      <c r="A26" s="23"/>
      <c r="B26" s="5"/>
      <c r="C26" s="4"/>
      <c r="D26" s="4"/>
      <c r="E2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6" s="4"/>
      <c r="G26" s="22" t="s">
        <v>118</v>
      </c>
      <c r="H26" s="22" t="s">
        <v>118</v>
      </c>
      <c r="I26" s="22" t="s">
        <v>118</v>
      </c>
      <c r="J26" s="22" t="s">
        <v>118</v>
      </c>
      <c r="K26" s="22" t="s">
        <v>118</v>
      </c>
      <c r="L26" s="22" t="s">
        <v>118</v>
      </c>
      <c r="M26" s="22" t="s">
        <v>118</v>
      </c>
      <c r="N26" s="22" t="s">
        <v>118</v>
      </c>
      <c r="O26" s="4"/>
      <c r="P26" s="4"/>
      <c r="Q26" s="4"/>
      <c r="R26" s="6"/>
      <c r="S26" s="6"/>
      <c r="T26" s="31" t="str">
        <f ca="1">IF(ProductionInventoryTable[[#This Row],[Campaign Name]]="","",NOW())</f>
        <v/>
      </c>
    </row>
    <row r="27" spans="1:20" ht="17.25">
      <c r="A27" s="23"/>
      <c r="B27" s="5"/>
      <c r="C27" s="4"/>
      <c r="D27" s="4"/>
      <c r="E2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7" s="4"/>
      <c r="G27" s="22" t="s">
        <v>118</v>
      </c>
      <c r="H27" s="22" t="s">
        <v>118</v>
      </c>
      <c r="I27" s="22" t="s">
        <v>118</v>
      </c>
      <c r="J27" s="22" t="s">
        <v>118</v>
      </c>
      <c r="K27" s="22" t="s">
        <v>118</v>
      </c>
      <c r="L27" s="22" t="s">
        <v>118</v>
      </c>
      <c r="M27" s="22" t="s">
        <v>118</v>
      </c>
      <c r="N27" s="22" t="s">
        <v>118</v>
      </c>
      <c r="O27" s="4"/>
      <c r="P27" s="4"/>
      <c r="Q27" s="4"/>
      <c r="R27" s="6"/>
      <c r="S27" s="6"/>
      <c r="T27" s="31" t="str">
        <f ca="1">IF(ProductionInventoryTable[[#This Row],[Campaign Name]]="","",NOW())</f>
        <v/>
      </c>
    </row>
    <row r="28" spans="1:20" ht="17.25">
      <c r="A28" s="23"/>
      <c r="B28" s="5"/>
      <c r="C28" s="4"/>
      <c r="D28" s="4"/>
      <c r="E2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8" s="4"/>
      <c r="G28" s="22" t="s">
        <v>118</v>
      </c>
      <c r="H28" s="22" t="s">
        <v>118</v>
      </c>
      <c r="I28" s="22" t="s">
        <v>118</v>
      </c>
      <c r="J28" s="22" t="s">
        <v>118</v>
      </c>
      <c r="K28" s="22" t="s">
        <v>118</v>
      </c>
      <c r="L28" s="22" t="s">
        <v>118</v>
      </c>
      <c r="M28" s="22" t="s">
        <v>118</v>
      </c>
      <c r="N28" s="22" t="s">
        <v>118</v>
      </c>
      <c r="O28" s="4"/>
      <c r="P28" s="4"/>
      <c r="Q28" s="4"/>
      <c r="R28" s="6"/>
      <c r="S28" s="6"/>
      <c r="T28" s="31" t="str">
        <f ca="1">IF(ProductionInventoryTable[[#This Row],[Campaign Name]]="","",NOW())</f>
        <v/>
      </c>
    </row>
    <row r="29" spans="1:20" ht="17.25">
      <c r="A29" s="23"/>
      <c r="B29" s="5"/>
      <c r="C29" s="4"/>
      <c r="D29" s="4"/>
      <c r="E2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9" s="4"/>
      <c r="G29" s="22" t="s">
        <v>118</v>
      </c>
      <c r="H29" s="22" t="s">
        <v>118</v>
      </c>
      <c r="I29" s="22" t="s">
        <v>118</v>
      </c>
      <c r="J29" s="22" t="s">
        <v>118</v>
      </c>
      <c r="K29" s="22" t="s">
        <v>118</v>
      </c>
      <c r="L29" s="22" t="s">
        <v>118</v>
      </c>
      <c r="M29" s="22" t="s">
        <v>118</v>
      </c>
      <c r="N29" s="22" t="s">
        <v>118</v>
      </c>
      <c r="O29" s="4"/>
      <c r="P29" s="4"/>
      <c r="Q29" s="4"/>
      <c r="R29" s="6"/>
      <c r="S29" s="6"/>
      <c r="T29" s="31" t="str">
        <f ca="1">IF(ProductionInventoryTable[[#This Row],[Campaign Name]]="","",NOW())</f>
        <v/>
      </c>
    </row>
    <row r="30" spans="1:20" ht="17.25">
      <c r="A30" s="23"/>
      <c r="B30" s="5"/>
      <c r="C30" s="4"/>
      <c r="D30" s="4"/>
      <c r="E3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30" s="4"/>
      <c r="G30" s="22" t="s">
        <v>118</v>
      </c>
      <c r="H30" s="22" t="s">
        <v>118</v>
      </c>
      <c r="I30" s="22" t="s">
        <v>118</v>
      </c>
      <c r="J30" s="22" t="s">
        <v>118</v>
      </c>
      <c r="K30" s="22" t="s">
        <v>118</v>
      </c>
      <c r="L30" s="22" t="s">
        <v>118</v>
      </c>
      <c r="M30" s="22" t="s">
        <v>118</v>
      </c>
      <c r="N30" s="22" t="s">
        <v>118</v>
      </c>
      <c r="O30" s="4"/>
      <c r="P30" s="4"/>
      <c r="Q30" s="4"/>
      <c r="R30" s="6"/>
      <c r="S30" s="6"/>
      <c r="T30" s="31" t="str">
        <f ca="1">IF(ProductionInventoryTable[[#This Row],[Campaign Name]]="","",NOW())</f>
        <v/>
      </c>
    </row>
    <row r="31" spans="1:20" ht="17.25">
      <c r="A31" s="23"/>
      <c r="B31" s="5"/>
      <c r="C31" s="4"/>
      <c r="D31" s="4"/>
      <c r="E3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31" s="4"/>
      <c r="G31" s="22" t="s">
        <v>118</v>
      </c>
      <c r="H31" s="22" t="s">
        <v>118</v>
      </c>
      <c r="I31" s="22" t="s">
        <v>118</v>
      </c>
      <c r="J31" s="22" t="s">
        <v>118</v>
      </c>
      <c r="K31" s="22" t="s">
        <v>118</v>
      </c>
      <c r="L31" s="22" t="s">
        <v>118</v>
      </c>
      <c r="M31" s="22" t="s">
        <v>118</v>
      </c>
      <c r="N31" s="22" t="s">
        <v>118</v>
      </c>
      <c r="O31" s="4"/>
      <c r="P31" s="4"/>
      <c r="Q31" s="4"/>
      <c r="R31" s="6"/>
      <c r="S31" s="6"/>
      <c r="T31" s="31" t="str">
        <f ca="1">IF(ProductionInventoryTable[[#This Row],[Campaign Name]]="","",NOW())</f>
        <v/>
      </c>
    </row>
    <row r="32" spans="1:20" ht="17.25">
      <c r="A32" s="23"/>
      <c r="B32" s="5"/>
      <c r="C32" s="4"/>
      <c r="D32" s="4"/>
      <c r="E3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32" s="4"/>
      <c r="G32" s="22" t="s">
        <v>118</v>
      </c>
      <c r="H32" s="22" t="s">
        <v>118</v>
      </c>
      <c r="I32" s="22" t="s">
        <v>118</v>
      </c>
      <c r="J32" s="22" t="s">
        <v>118</v>
      </c>
      <c r="K32" s="22" t="s">
        <v>118</v>
      </c>
      <c r="L32" s="22" t="s">
        <v>118</v>
      </c>
      <c r="M32" s="22" t="s">
        <v>118</v>
      </c>
      <c r="N32" s="22" t="s">
        <v>118</v>
      </c>
      <c r="O32" s="4"/>
      <c r="P32" s="4"/>
      <c r="Q32" s="4"/>
      <c r="R32" s="6"/>
      <c r="S32" s="6"/>
      <c r="T32" s="31" t="str">
        <f ca="1">IF(ProductionInventoryTable[[#This Row],[Campaign Name]]="","",NOW())</f>
        <v/>
      </c>
    </row>
    <row r="33" spans="1:20" ht="17.25">
      <c r="A33" s="23"/>
      <c r="B33" s="5"/>
      <c r="C33" s="4"/>
      <c r="D33" s="4"/>
      <c r="E3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33" s="4"/>
      <c r="G33" s="22" t="s">
        <v>118</v>
      </c>
      <c r="H33" s="22" t="s">
        <v>118</v>
      </c>
      <c r="I33" s="22" t="s">
        <v>118</v>
      </c>
      <c r="J33" s="22" t="s">
        <v>118</v>
      </c>
      <c r="K33" s="22" t="s">
        <v>118</v>
      </c>
      <c r="L33" s="22" t="s">
        <v>118</v>
      </c>
      <c r="M33" s="22" t="s">
        <v>118</v>
      </c>
      <c r="N33" s="22" t="s">
        <v>118</v>
      </c>
      <c r="O33" s="4"/>
      <c r="P33" s="4"/>
      <c r="Q33" s="4"/>
      <c r="R33" s="6"/>
      <c r="S33" s="6"/>
      <c r="T33" s="31" t="str">
        <f ca="1">IF(ProductionInventoryTable[[#This Row],[Campaign Name]]="","",NOW())</f>
        <v/>
      </c>
    </row>
    <row r="34" spans="1:20" ht="17.25">
      <c r="A34" s="23"/>
      <c r="B34" s="5"/>
      <c r="C34" s="4"/>
      <c r="D34" s="4"/>
      <c r="E3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34" s="4"/>
      <c r="G34" s="22" t="s">
        <v>118</v>
      </c>
      <c r="H34" s="22" t="s">
        <v>118</v>
      </c>
      <c r="I34" s="22" t="s">
        <v>118</v>
      </c>
      <c r="J34" s="22" t="s">
        <v>118</v>
      </c>
      <c r="K34" s="22" t="s">
        <v>118</v>
      </c>
      <c r="L34" s="22" t="s">
        <v>118</v>
      </c>
      <c r="M34" s="22" t="s">
        <v>118</v>
      </c>
      <c r="N34" s="22" t="s">
        <v>118</v>
      </c>
      <c r="O34" s="4"/>
      <c r="P34" s="4"/>
      <c r="Q34" s="4"/>
      <c r="R34" s="6"/>
      <c r="S34" s="6"/>
      <c r="T34" s="31" t="str">
        <f ca="1">IF(ProductionInventoryTable[[#This Row],[Campaign Name]]="","",NOW())</f>
        <v/>
      </c>
    </row>
    <row r="35" spans="1:20" ht="17.25">
      <c r="A35" s="23"/>
      <c r="B35" s="5"/>
      <c r="C35" s="4"/>
      <c r="D35" s="4"/>
      <c r="E3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35" s="4"/>
      <c r="G35" s="22" t="s">
        <v>118</v>
      </c>
      <c r="H35" s="22" t="s">
        <v>118</v>
      </c>
      <c r="I35" s="22" t="s">
        <v>118</v>
      </c>
      <c r="J35" s="22" t="s">
        <v>118</v>
      </c>
      <c r="K35" s="22" t="s">
        <v>118</v>
      </c>
      <c r="L35" s="22" t="s">
        <v>118</v>
      </c>
      <c r="M35" s="22" t="s">
        <v>118</v>
      </c>
      <c r="N35" s="22" t="s">
        <v>118</v>
      </c>
      <c r="O35" s="4"/>
      <c r="P35" s="4"/>
      <c r="Q35" s="4"/>
      <c r="R35" s="6"/>
      <c r="S35" s="6"/>
      <c r="T35" s="31" t="str">
        <f ca="1">IF(ProductionInventoryTable[[#This Row],[Campaign Name]]="","",NOW())</f>
        <v/>
      </c>
    </row>
    <row r="36" spans="1:20" ht="17.25">
      <c r="A36" s="23"/>
      <c r="B36" s="5"/>
      <c r="C36" s="4"/>
      <c r="D36" s="4"/>
      <c r="E3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36" s="4"/>
      <c r="G36" s="22" t="s">
        <v>118</v>
      </c>
      <c r="H36" s="22" t="s">
        <v>118</v>
      </c>
      <c r="I36" s="22" t="s">
        <v>118</v>
      </c>
      <c r="J36" s="22" t="s">
        <v>118</v>
      </c>
      <c r="K36" s="22" t="s">
        <v>118</v>
      </c>
      <c r="L36" s="22" t="s">
        <v>118</v>
      </c>
      <c r="M36" s="22" t="s">
        <v>118</v>
      </c>
      <c r="N36" s="22" t="s">
        <v>118</v>
      </c>
      <c r="O36" s="4"/>
      <c r="P36" s="4"/>
      <c r="Q36" s="4"/>
      <c r="R36" s="6"/>
      <c r="S36" s="6"/>
      <c r="T36" s="31" t="str">
        <f ca="1">IF(ProductionInventoryTable[[#This Row],[Campaign Name]]="","",NOW())</f>
        <v/>
      </c>
    </row>
    <row r="37" spans="1:20" ht="17.25">
      <c r="A37" s="23"/>
      <c r="B37" s="5"/>
      <c r="C37" s="4"/>
      <c r="D37" s="4"/>
      <c r="E3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37" s="4"/>
      <c r="G37" s="22" t="s">
        <v>118</v>
      </c>
      <c r="H37" s="22" t="s">
        <v>118</v>
      </c>
      <c r="I37" s="22" t="s">
        <v>118</v>
      </c>
      <c r="J37" s="22" t="s">
        <v>118</v>
      </c>
      <c r="K37" s="22" t="s">
        <v>118</v>
      </c>
      <c r="L37" s="22" t="s">
        <v>118</v>
      </c>
      <c r="M37" s="22" t="s">
        <v>118</v>
      </c>
      <c r="N37" s="22" t="s">
        <v>118</v>
      </c>
      <c r="O37" s="4"/>
      <c r="P37" s="4"/>
      <c r="Q37" s="4"/>
      <c r="R37" s="6"/>
      <c r="S37" s="6"/>
      <c r="T37" s="31" t="str">
        <f ca="1">IF(ProductionInventoryTable[[#This Row],[Campaign Name]]="","",NOW())</f>
        <v/>
      </c>
    </row>
    <row r="38" spans="1:20" ht="17.25">
      <c r="A38" s="23"/>
      <c r="B38" s="5"/>
      <c r="C38" s="4"/>
      <c r="D38" s="4"/>
      <c r="E3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38" s="4"/>
      <c r="G38" s="22" t="s">
        <v>118</v>
      </c>
      <c r="H38" s="22" t="s">
        <v>118</v>
      </c>
      <c r="I38" s="22" t="s">
        <v>118</v>
      </c>
      <c r="J38" s="22" t="s">
        <v>118</v>
      </c>
      <c r="K38" s="22" t="s">
        <v>118</v>
      </c>
      <c r="L38" s="22" t="s">
        <v>118</v>
      </c>
      <c r="M38" s="22" t="s">
        <v>118</v>
      </c>
      <c r="N38" s="22" t="s">
        <v>118</v>
      </c>
      <c r="O38" s="4"/>
      <c r="P38" s="4"/>
      <c r="Q38" s="4"/>
      <c r="R38" s="6"/>
      <c r="S38" s="6"/>
      <c r="T38" s="31" t="str">
        <f ca="1">IF(ProductionInventoryTable[[#This Row],[Campaign Name]]="","",NOW())</f>
        <v/>
      </c>
    </row>
    <row r="39" spans="1:20" ht="17.25">
      <c r="A39" s="23"/>
      <c r="B39" s="5"/>
      <c r="C39" s="4"/>
      <c r="D39" s="4"/>
      <c r="E3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39" s="4"/>
      <c r="G39" s="22" t="s">
        <v>118</v>
      </c>
      <c r="H39" s="22" t="s">
        <v>118</v>
      </c>
      <c r="I39" s="22" t="s">
        <v>118</v>
      </c>
      <c r="J39" s="22" t="s">
        <v>118</v>
      </c>
      <c r="K39" s="22" t="s">
        <v>118</v>
      </c>
      <c r="L39" s="22" t="s">
        <v>118</v>
      </c>
      <c r="M39" s="22" t="s">
        <v>118</v>
      </c>
      <c r="N39" s="22" t="s">
        <v>118</v>
      </c>
      <c r="O39" s="4"/>
      <c r="P39" s="4"/>
      <c r="Q39" s="4"/>
      <c r="R39" s="6"/>
      <c r="S39" s="6"/>
      <c r="T39" s="31" t="str">
        <f ca="1">IF(ProductionInventoryTable[[#This Row],[Campaign Name]]="","",NOW())</f>
        <v/>
      </c>
    </row>
    <row r="40" spans="1:20" ht="17.25">
      <c r="A40" s="23"/>
      <c r="B40" s="5"/>
      <c r="C40" s="4"/>
      <c r="D40" s="4"/>
      <c r="E4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40" s="4"/>
      <c r="G40" s="22" t="s">
        <v>118</v>
      </c>
      <c r="H40" s="22" t="s">
        <v>118</v>
      </c>
      <c r="I40" s="22" t="s">
        <v>118</v>
      </c>
      <c r="J40" s="22" t="s">
        <v>118</v>
      </c>
      <c r="K40" s="22" t="s">
        <v>118</v>
      </c>
      <c r="L40" s="22" t="s">
        <v>118</v>
      </c>
      <c r="M40" s="22" t="s">
        <v>118</v>
      </c>
      <c r="N40" s="22" t="s">
        <v>118</v>
      </c>
      <c r="O40" s="4"/>
      <c r="P40" s="4"/>
      <c r="Q40" s="4"/>
      <c r="R40" s="6"/>
      <c r="S40" s="6"/>
      <c r="T40" s="31" t="str">
        <f ca="1">IF(ProductionInventoryTable[[#This Row],[Campaign Name]]="","",NOW())</f>
        <v/>
      </c>
    </row>
    <row r="41" spans="1:20" ht="17.25">
      <c r="A41" s="23"/>
      <c r="B41" s="5"/>
      <c r="C41" s="4"/>
      <c r="D41" s="4"/>
      <c r="E4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41" s="4"/>
      <c r="G41" s="22" t="s">
        <v>118</v>
      </c>
      <c r="H41" s="22" t="s">
        <v>118</v>
      </c>
      <c r="I41" s="22" t="s">
        <v>118</v>
      </c>
      <c r="J41" s="22" t="s">
        <v>118</v>
      </c>
      <c r="K41" s="22" t="s">
        <v>118</v>
      </c>
      <c r="L41" s="22" t="s">
        <v>118</v>
      </c>
      <c r="M41" s="22" t="s">
        <v>118</v>
      </c>
      <c r="N41" s="22" t="s">
        <v>118</v>
      </c>
      <c r="O41" s="4"/>
      <c r="P41" s="4"/>
      <c r="Q41" s="4"/>
      <c r="R41" s="6"/>
      <c r="S41" s="6"/>
      <c r="T41" s="31" t="str">
        <f ca="1">IF(ProductionInventoryTable[[#This Row],[Campaign Name]]="","",NOW())</f>
        <v/>
      </c>
    </row>
    <row r="42" spans="1:20" ht="17.25">
      <c r="A42" s="23"/>
      <c r="B42" s="5"/>
      <c r="C42" s="4"/>
      <c r="D42" s="4"/>
      <c r="E4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42" s="4"/>
      <c r="G42" s="22" t="s">
        <v>118</v>
      </c>
      <c r="H42" s="22" t="s">
        <v>118</v>
      </c>
      <c r="I42" s="22" t="s">
        <v>118</v>
      </c>
      <c r="J42" s="22" t="s">
        <v>118</v>
      </c>
      <c r="K42" s="22" t="s">
        <v>118</v>
      </c>
      <c r="L42" s="22" t="s">
        <v>118</v>
      </c>
      <c r="M42" s="22" t="s">
        <v>118</v>
      </c>
      <c r="N42" s="22" t="s">
        <v>118</v>
      </c>
      <c r="O42" s="4"/>
      <c r="P42" s="4"/>
      <c r="Q42" s="4"/>
      <c r="R42" s="6"/>
      <c r="S42" s="6"/>
      <c r="T42" s="31" t="str">
        <f ca="1">IF(ProductionInventoryTable[[#This Row],[Campaign Name]]="","",NOW())</f>
        <v/>
      </c>
    </row>
    <row r="43" spans="1:20" ht="17.25">
      <c r="A43" s="23"/>
      <c r="B43" s="5"/>
      <c r="C43" s="4"/>
      <c r="D43" s="4"/>
      <c r="E4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43" s="4"/>
      <c r="G43" s="22" t="s">
        <v>118</v>
      </c>
      <c r="H43" s="22" t="s">
        <v>118</v>
      </c>
      <c r="I43" s="22" t="s">
        <v>118</v>
      </c>
      <c r="J43" s="22" t="s">
        <v>118</v>
      </c>
      <c r="K43" s="22" t="s">
        <v>118</v>
      </c>
      <c r="L43" s="22" t="s">
        <v>118</v>
      </c>
      <c r="M43" s="22" t="s">
        <v>118</v>
      </c>
      <c r="N43" s="22" t="s">
        <v>118</v>
      </c>
      <c r="O43" s="4"/>
      <c r="P43" s="4"/>
      <c r="Q43" s="4"/>
      <c r="R43" s="6"/>
      <c r="S43" s="6"/>
      <c r="T43" s="31" t="str">
        <f ca="1">IF(ProductionInventoryTable[[#This Row],[Campaign Name]]="","",NOW())</f>
        <v/>
      </c>
    </row>
    <row r="44" spans="1:20" ht="17.25">
      <c r="A44" s="23"/>
      <c r="B44" s="5"/>
      <c r="C44" s="4"/>
      <c r="D44" s="4"/>
      <c r="E4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44" s="4"/>
      <c r="G44" s="22" t="s">
        <v>118</v>
      </c>
      <c r="H44" s="22" t="s">
        <v>118</v>
      </c>
      <c r="I44" s="22" t="s">
        <v>118</v>
      </c>
      <c r="J44" s="22" t="s">
        <v>118</v>
      </c>
      <c r="K44" s="22" t="s">
        <v>118</v>
      </c>
      <c r="L44" s="22" t="s">
        <v>118</v>
      </c>
      <c r="M44" s="22" t="s">
        <v>118</v>
      </c>
      <c r="N44" s="22" t="s">
        <v>118</v>
      </c>
      <c r="O44" s="4"/>
      <c r="P44" s="4"/>
      <c r="Q44" s="4"/>
      <c r="R44" s="6"/>
      <c r="S44" s="6"/>
      <c r="T44" s="31" t="str">
        <f ca="1">IF(ProductionInventoryTable[[#This Row],[Campaign Name]]="","",NOW())</f>
        <v/>
      </c>
    </row>
    <row r="45" spans="1:20" ht="17.25">
      <c r="A45" s="23"/>
      <c r="B45" s="5"/>
      <c r="C45" s="4"/>
      <c r="D45" s="4"/>
      <c r="E4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45" s="4"/>
      <c r="G45" s="22" t="s">
        <v>118</v>
      </c>
      <c r="H45" s="22" t="s">
        <v>118</v>
      </c>
      <c r="I45" s="22" t="s">
        <v>118</v>
      </c>
      <c r="J45" s="22" t="s">
        <v>118</v>
      </c>
      <c r="K45" s="22" t="s">
        <v>118</v>
      </c>
      <c r="L45" s="22" t="s">
        <v>118</v>
      </c>
      <c r="M45" s="22" t="s">
        <v>118</v>
      </c>
      <c r="N45" s="22" t="s">
        <v>118</v>
      </c>
      <c r="O45" s="4"/>
      <c r="P45" s="4"/>
      <c r="Q45" s="4"/>
      <c r="R45" s="6"/>
      <c r="S45" s="6"/>
      <c r="T45" s="31" t="str">
        <f ca="1">IF(ProductionInventoryTable[[#This Row],[Campaign Name]]="","",NOW())</f>
        <v/>
      </c>
    </row>
    <row r="46" spans="1:20" ht="17.25">
      <c r="A46" s="23"/>
      <c r="B46" s="5"/>
      <c r="C46" s="4"/>
      <c r="D46" s="4"/>
      <c r="E4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46" s="4"/>
      <c r="G46" s="22" t="s">
        <v>118</v>
      </c>
      <c r="H46" s="22" t="s">
        <v>118</v>
      </c>
      <c r="I46" s="22" t="s">
        <v>118</v>
      </c>
      <c r="J46" s="22" t="s">
        <v>118</v>
      </c>
      <c r="K46" s="22" t="s">
        <v>118</v>
      </c>
      <c r="L46" s="22" t="s">
        <v>118</v>
      </c>
      <c r="M46" s="22" t="s">
        <v>118</v>
      </c>
      <c r="N46" s="22" t="s">
        <v>118</v>
      </c>
      <c r="O46" s="4"/>
      <c r="P46" s="4"/>
      <c r="Q46" s="4"/>
      <c r="R46" s="6"/>
      <c r="S46" s="6"/>
      <c r="T46" s="31" t="str">
        <f ca="1">IF(ProductionInventoryTable[[#This Row],[Campaign Name]]="","",NOW())</f>
        <v/>
      </c>
    </row>
    <row r="47" spans="1:20" ht="17.25">
      <c r="A47" s="23"/>
      <c r="B47" s="5"/>
      <c r="C47" s="4"/>
      <c r="D47" s="4"/>
      <c r="E4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47" s="4"/>
      <c r="G47" s="22" t="s">
        <v>118</v>
      </c>
      <c r="H47" s="22" t="s">
        <v>118</v>
      </c>
      <c r="I47" s="22" t="s">
        <v>118</v>
      </c>
      <c r="J47" s="22" t="s">
        <v>118</v>
      </c>
      <c r="K47" s="22" t="s">
        <v>118</v>
      </c>
      <c r="L47" s="22" t="s">
        <v>118</v>
      </c>
      <c r="M47" s="22" t="s">
        <v>118</v>
      </c>
      <c r="N47" s="22" t="s">
        <v>118</v>
      </c>
      <c r="O47" s="4"/>
      <c r="P47" s="4"/>
      <c r="Q47" s="4"/>
      <c r="R47" s="6"/>
      <c r="S47" s="6"/>
      <c r="T47" s="31" t="str">
        <f ca="1">IF(ProductionInventoryTable[[#This Row],[Campaign Name]]="","",NOW())</f>
        <v/>
      </c>
    </row>
    <row r="48" spans="1:20" ht="17.25">
      <c r="A48" s="23"/>
      <c r="B48" s="5"/>
      <c r="C48" s="4"/>
      <c r="D48" s="4"/>
      <c r="E4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48" s="4"/>
      <c r="G48" s="22" t="s">
        <v>118</v>
      </c>
      <c r="H48" s="22" t="s">
        <v>118</v>
      </c>
      <c r="I48" s="22" t="s">
        <v>118</v>
      </c>
      <c r="J48" s="22" t="s">
        <v>118</v>
      </c>
      <c r="K48" s="22" t="s">
        <v>118</v>
      </c>
      <c r="L48" s="22" t="s">
        <v>118</v>
      </c>
      <c r="M48" s="22" t="s">
        <v>118</v>
      </c>
      <c r="N48" s="22" t="s">
        <v>118</v>
      </c>
      <c r="O48" s="4"/>
      <c r="P48" s="4"/>
      <c r="Q48" s="4"/>
      <c r="R48" s="6"/>
      <c r="S48" s="6"/>
      <c r="T48" s="31" t="str">
        <f ca="1">IF(ProductionInventoryTable[[#This Row],[Campaign Name]]="","",NOW())</f>
        <v/>
      </c>
    </row>
    <row r="49" spans="1:20" ht="17.25">
      <c r="A49" s="23"/>
      <c r="B49" s="5"/>
      <c r="C49" s="4"/>
      <c r="D49" s="4"/>
      <c r="E4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49" s="4"/>
      <c r="G49" s="22" t="s">
        <v>118</v>
      </c>
      <c r="H49" s="22" t="s">
        <v>118</v>
      </c>
      <c r="I49" s="22" t="s">
        <v>118</v>
      </c>
      <c r="J49" s="22" t="s">
        <v>118</v>
      </c>
      <c r="K49" s="22" t="s">
        <v>118</v>
      </c>
      <c r="L49" s="22" t="s">
        <v>118</v>
      </c>
      <c r="M49" s="22" t="s">
        <v>118</v>
      </c>
      <c r="N49" s="22" t="s">
        <v>118</v>
      </c>
      <c r="O49" s="4"/>
      <c r="P49" s="4"/>
      <c r="Q49" s="4"/>
      <c r="R49" s="6"/>
      <c r="S49" s="6"/>
      <c r="T49" s="31" t="str">
        <f ca="1">IF(ProductionInventoryTable[[#This Row],[Campaign Name]]="","",NOW())</f>
        <v/>
      </c>
    </row>
    <row r="50" spans="1:20" ht="17.25">
      <c r="A50" s="23"/>
      <c r="B50" s="5"/>
      <c r="C50" s="4"/>
      <c r="D50" s="4"/>
      <c r="E5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50" s="4"/>
      <c r="G50" s="22" t="s">
        <v>118</v>
      </c>
      <c r="H50" s="22" t="s">
        <v>118</v>
      </c>
      <c r="I50" s="22" t="s">
        <v>118</v>
      </c>
      <c r="J50" s="22" t="s">
        <v>118</v>
      </c>
      <c r="K50" s="22" t="s">
        <v>118</v>
      </c>
      <c r="L50" s="22" t="s">
        <v>118</v>
      </c>
      <c r="M50" s="22" t="s">
        <v>118</v>
      </c>
      <c r="N50" s="22" t="s">
        <v>118</v>
      </c>
      <c r="O50" s="4"/>
      <c r="P50" s="4"/>
      <c r="Q50" s="4"/>
      <c r="R50" s="6"/>
      <c r="S50" s="6"/>
      <c r="T50" s="31" t="str">
        <f ca="1">IF(ProductionInventoryTable[[#This Row],[Campaign Name]]="","",NOW())</f>
        <v/>
      </c>
    </row>
    <row r="51" spans="1:20" ht="17.25">
      <c r="A51" s="23"/>
      <c r="B51" s="5"/>
      <c r="C51" s="4"/>
      <c r="D51" s="4"/>
      <c r="E5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51" s="4"/>
      <c r="G51" s="22" t="s">
        <v>118</v>
      </c>
      <c r="H51" s="22" t="s">
        <v>118</v>
      </c>
      <c r="I51" s="22" t="s">
        <v>118</v>
      </c>
      <c r="J51" s="22" t="s">
        <v>118</v>
      </c>
      <c r="K51" s="22" t="s">
        <v>118</v>
      </c>
      <c r="L51" s="22" t="s">
        <v>118</v>
      </c>
      <c r="M51" s="22" t="s">
        <v>118</v>
      </c>
      <c r="N51" s="22" t="s">
        <v>118</v>
      </c>
      <c r="O51" s="4"/>
      <c r="P51" s="4"/>
      <c r="Q51" s="4"/>
      <c r="R51" s="6"/>
      <c r="S51" s="6"/>
      <c r="T51" s="31" t="str">
        <f ca="1">IF(ProductionInventoryTable[[#This Row],[Campaign Name]]="","",NOW())</f>
        <v/>
      </c>
    </row>
    <row r="52" spans="1:20" ht="17.25">
      <c r="A52" s="23"/>
      <c r="B52" s="5"/>
      <c r="C52" s="4"/>
      <c r="D52" s="4"/>
      <c r="E5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52" s="4"/>
      <c r="G52" s="22" t="s">
        <v>118</v>
      </c>
      <c r="H52" s="22" t="s">
        <v>118</v>
      </c>
      <c r="I52" s="22" t="s">
        <v>118</v>
      </c>
      <c r="J52" s="22" t="s">
        <v>118</v>
      </c>
      <c r="K52" s="22" t="s">
        <v>118</v>
      </c>
      <c r="L52" s="22" t="s">
        <v>118</v>
      </c>
      <c r="M52" s="22" t="s">
        <v>118</v>
      </c>
      <c r="N52" s="22" t="s">
        <v>118</v>
      </c>
      <c r="O52" s="4"/>
      <c r="P52" s="4"/>
      <c r="Q52" s="4"/>
      <c r="R52" s="6"/>
      <c r="S52" s="6"/>
      <c r="T52" s="31" t="str">
        <f ca="1">IF(ProductionInventoryTable[[#This Row],[Campaign Name]]="","",NOW())</f>
        <v/>
      </c>
    </row>
    <row r="53" spans="1:20" ht="17.25">
      <c r="A53" s="23"/>
      <c r="B53" s="5"/>
      <c r="C53" s="4"/>
      <c r="D53" s="4"/>
      <c r="E5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53" s="4"/>
      <c r="G53" s="22" t="s">
        <v>118</v>
      </c>
      <c r="H53" s="22" t="s">
        <v>118</v>
      </c>
      <c r="I53" s="22" t="s">
        <v>118</v>
      </c>
      <c r="J53" s="22" t="s">
        <v>118</v>
      </c>
      <c r="K53" s="22" t="s">
        <v>118</v>
      </c>
      <c r="L53" s="22" t="s">
        <v>118</v>
      </c>
      <c r="M53" s="22" t="s">
        <v>118</v>
      </c>
      <c r="N53" s="22" t="s">
        <v>118</v>
      </c>
      <c r="O53" s="4"/>
      <c r="P53" s="4"/>
      <c r="Q53" s="4"/>
      <c r="R53" s="6"/>
      <c r="S53" s="6"/>
      <c r="T53" s="31" t="str">
        <f ca="1">IF(ProductionInventoryTable[[#This Row],[Campaign Name]]="","",NOW())</f>
        <v/>
      </c>
    </row>
    <row r="54" spans="1:20" ht="17.25">
      <c r="A54" s="23"/>
      <c r="B54" s="5"/>
      <c r="C54" s="4"/>
      <c r="D54" s="4"/>
      <c r="E5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54" s="4"/>
      <c r="G54" s="22" t="s">
        <v>118</v>
      </c>
      <c r="H54" s="22" t="s">
        <v>118</v>
      </c>
      <c r="I54" s="22" t="s">
        <v>118</v>
      </c>
      <c r="J54" s="22" t="s">
        <v>118</v>
      </c>
      <c r="K54" s="22" t="s">
        <v>118</v>
      </c>
      <c r="L54" s="22" t="s">
        <v>118</v>
      </c>
      <c r="M54" s="22" t="s">
        <v>118</v>
      </c>
      <c r="N54" s="22" t="s">
        <v>118</v>
      </c>
      <c r="O54" s="4"/>
      <c r="P54" s="4"/>
      <c r="Q54" s="4"/>
      <c r="R54" s="6"/>
      <c r="S54" s="6"/>
      <c r="T54" s="31" t="str">
        <f ca="1">IF(ProductionInventoryTable[[#This Row],[Campaign Name]]="","",NOW())</f>
        <v/>
      </c>
    </row>
    <row r="55" spans="1:20" ht="17.25">
      <c r="A55" s="23"/>
      <c r="B55" s="5"/>
      <c r="C55" s="4"/>
      <c r="D55" s="4"/>
      <c r="E5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55" s="4"/>
      <c r="G55" s="22" t="s">
        <v>118</v>
      </c>
      <c r="H55" s="22" t="s">
        <v>118</v>
      </c>
      <c r="I55" s="22" t="s">
        <v>118</v>
      </c>
      <c r="J55" s="22" t="s">
        <v>118</v>
      </c>
      <c r="K55" s="22" t="s">
        <v>118</v>
      </c>
      <c r="L55" s="22" t="s">
        <v>118</v>
      </c>
      <c r="M55" s="22" t="s">
        <v>118</v>
      </c>
      <c r="N55" s="22" t="s">
        <v>118</v>
      </c>
      <c r="O55" s="4"/>
      <c r="P55" s="4"/>
      <c r="Q55" s="4"/>
      <c r="R55" s="6"/>
      <c r="S55" s="6"/>
      <c r="T55" s="31" t="str">
        <f ca="1">IF(ProductionInventoryTable[[#This Row],[Campaign Name]]="","",NOW())</f>
        <v/>
      </c>
    </row>
    <row r="56" spans="1:20" ht="17.25">
      <c r="A56" s="23"/>
      <c r="B56" s="5"/>
      <c r="C56" s="4"/>
      <c r="D56" s="4"/>
      <c r="E5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56" s="4"/>
      <c r="G56" s="22" t="s">
        <v>118</v>
      </c>
      <c r="H56" s="22" t="s">
        <v>118</v>
      </c>
      <c r="I56" s="22" t="s">
        <v>118</v>
      </c>
      <c r="J56" s="22" t="s">
        <v>118</v>
      </c>
      <c r="K56" s="22" t="s">
        <v>118</v>
      </c>
      <c r="L56" s="22" t="s">
        <v>118</v>
      </c>
      <c r="M56" s="22" t="s">
        <v>118</v>
      </c>
      <c r="N56" s="22" t="s">
        <v>118</v>
      </c>
      <c r="O56" s="4"/>
      <c r="P56" s="4"/>
      <c r="Q56" s="4"/>
      <c r="R56" s="6"/>
      <c r="S56" s="6"/>
      <c r="T56" s="31" t="str">
        <f ca="1">IF(ProductionInventoryTable[[#This Row],[Campaign Name]]="","",NOW())</f>
        <v/>
      </c>
    </row>
    <row r="57" spans="1:20" ht="17.25">
      <c r="A57" s="23"/>
      <c r="B57" s="5"/>
      <c r="C57" s="4"/>
      <c r="D57" s="4"/>
      <c r="E5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57" s="4"/>
      <c r="G57" s="22" t="s">
        <v>118</v>
      </c>
      <c r="H57" s="22" t="s">
        <v>118</v>
      </c>
      <c r="I57" s="22" t="s">
        <v>118</v>
      </c>
      <c r="J57" s="22" t="s">
        <v>118</v>
      </c>
      <c r="K57" s="22" t="s">
        <v>118</v>
      </c>
      <c r="L57" s="22" t="s">
        <v>118</v>
      </c>
      <c r="M57" s="22" t="s">
        <v>118</v>
      </c>
      <c r="N57" s="22" t="s">
        <v>118</v>
      </c>
      <c r="O57" s="4"/>
      <c r="P57" s="4"/>
      <c r="Q57" s="4"/>
      <c r="R57" s="6"/>
      <c r="S57" s="6"/>
      <c r="T57" s="31" t="str">
        <f ca="1">IF(ProductionInventoryTable[[#This Row],[Campaign Name]]="","",NOW())</f>
        <v/>
      </c>
    </row>
    <row r="58" spans="1:20" ht="17.25">
      <c r="A58" s="23"/>
      <c r="B58" s="5"/>
      <c r="C58" s="4"/>
      <c r="D58" s="4"/>
      <c r="E5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58" s="4"/>
      <c r="G58" s="22" t="s">
        <v>118</v>
      </c>
      <c r="H58" s="22" t="s">
        <v>118</v>
      </c>
      <c r="I58" s="22" t="s">
        <v>118</v>
      </c>
      <c r="J58" s="22" t="s">
        <v>118</v>
      </c>
      <c r="K58" s="22" t="s">
        <v>118</v>
      </c>
      <c r="L58" s="22" t="s">
        <v>118</v>
      </c>
      <c r="M58" s="22" t="s">
        <v>118</v>
      </c>
      <c r="N58" s="22" t="s">
        <v>118</v>
      </c>
      <c r="O58" s="4"/>
      <c r="P58" s="4"/>
      <c r="Q58" s="4"/>
      <c r="R58" s="6"/>
      <c r="S58" s="6"/>
      <c r="T58" s="31" t="str">
        <f ca="1">IF(ProductionInventoryTable[[#This Row],[Campaign Name]]="","",NOW())</f>
        <v/>
      </c>
    </row>
    <row r="59" spans="1:20" ht="17.25">
      <c r="A59" s="23"/>
      <c r="B59" s="5"/>
      <c r="C59" s="4"/>
      <c r="D59" s="4"/>
      <c r="E5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59" s="4"/>
      <c r="G59" s="22" t="s">
        <v>118</v>
      </c>
      <c r="H59" s="22" t="s">
        <v>118</v>
      </c>
      <c r="I59" s="22" t="s">
        <v>118</v>
      </c>
      <c r="J59" s="22" t="s">
        <v>118</v>
      </c>
      <c r="K59" s="22" t="s">
        <v>118</v>
      </c>
      <c r="L59" s="22" t="s">
        <v>118</v>
      </c>
      <c r="M59" s="22" t="s">
        <v>118</v>
      </c>
      <c r="N59" s="22" t="s">
        <v>118</v>
      </c>
      <c r="O59" s="4"/>
      <c r="P59" s="4"/>
      <c r="Q59" s="4"/>
      <c r="R59" s="6"/>
      <c r="S59" s="6"/>
      <c r="T59" s="31" t="str">
        <f ca="1">IF(ProductionInventoryTable[[#This Row],[Campaign Name]]="","",NOW())</f>
        <v/>
      </c>
    </row>
    <row r="60" spans="1:20" ht="17.25">
      <c r="A60" s="23"/>
      <c r="B60" s="5"/>
      <c r="C60" s="4"/>
      <c r="D60" s="4"/>
      <c r="E6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60" s="4"/>
      <c r="G60" s="22" t="s">
        <v>118</v>
      </c>
      <c r="H60" s="22" t="s">
        <v>118</v>
      </c>
      <c r="I60" s="22" t="s">
        <v>118</v>
      </c>
      <c r="J60" s="22" t="s">
        <v>118</v>
      </c>
      <c r="K60" s="22" t="s">
        <v>118</v>
      </c>
      <c r="L60" s="22" t="s">
        <v>118</v>
      </c>
      <c r="M60" s="22" t="s">
        <v>118</v>
      </c>
      <c r="N60" s="22" t="s">
        <v>118</v>
      </c>
      <c r="O60" s="4"/>
      <c r="P60" s="4"/>
      <c r="Q60" s="4"/>
      <c r="R60" s="6"/>
      <c r="S60" s="6"/>
      <c r="T60" s="31" t="str">
        <f ca="1">IF(ProductionInventoryTable[[#This Row],[Campaign Name]]="","",NOW())</f>
        <v/>
      </c>
    </row>
    <row r="61" spans="1:20" ht="17.25">
      <c r="A61" s="23"/>
      <c r="B61" s="5"/>
      <c r="C61" s="4"/>
      <c r="D61" s="4"/>
      <c r="E6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61" s="4"/>
      <c r="G61" s="22" t="s">
        <v>118</v>
      </c>
      <c r="H61" s="22" t="s">
        <v>118</v>
      </c>
      <c r="I61" s="22" t="s">
        <v>118</v>
      </c>
      <c r="J61" s="22" t="s">
        <v>118</v>
      </c>
      <c r="K61" s="22" t="s">
        <v>118</v>
      </c>
      <c r="L61" s="22" t="s">
        <v>118</v>
      </c>
      <c r="M61" s="22" t="s">
        <v>118</v>
      </c>
      <c r="N61" s="22" t="s">
        <v>118</v>
      </c>
      <c r="O61" s="4"/>
      <c r="P61" s="4"/>
      <c r="Q61" s="4"/>
      <c r="R61" s="6"/>
      <c r="S61" s="6"/>
      <c r="T61" s="31" t="str">
        <f ca="1">IF(ProductionInventoryTable[[#This Row],[Campaign Name]]="","",NOW())</f>
        <v/>
      </c>
    </row>
    <row r="62" spans="1:20" ht="17.25">
      <c r="A62" s="23"/>
      <c r="B62" s="5"/>
      <c r="C62" s="4"/>
      <c r="D62" s="4"/>
      <c r="E6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62" s="4"/>
      <c r="G62" s="22" t="s">
        <v>118</v>
      </c>
      <c r="H62" s="22" t="s">
        <v>118</v>
      </c>
      <c r="I62" s="22" t="s">
        <v>118</v>
      </c>
      <c r="J62" s="22" t="s">
        <v>118</v>
      </c>
      <c r="K62" s="22" t="s">
        <v>118</v>
      </c>
      <c r="L62" s="22" t="s">
        <v>118</v>
      </c>
      <c r="M62" s="22" t="s">
        <v>118</v>
      </c>
      <c r="N62" s="22" t="s">
        <v>118</v>
      </c>
      <c r="O62" s="4"/>
      <c r="P62" s="4"/>
      <c r="Q62" s="4"/>
      <c r="R62" s="6"/>
      <c r="S62" s="6"/>
      <c r="T62" s="31" t="str">
        <f ca="1">IF(ProductionInventoryTable[[#This Row],[Campaign Name]]="","",NOW())</f>
        <v/>
      </c>
    </row>
    <row r="63" spans="1:20" ht="17.25">
      <c r="A63" s="23"/>
      <c r="B63" s="5"/>
      <c r="C63" s="4"/>
      <c r="D63" s="4"/>
      <c r="E6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63" s="4"/>
      <c r="G63" s="22" t="s">
        <v>118</v>
      </c>
      <c r="H63" s="22" t="s">
        <v>118</v>
      </c>
      <c r="I63" s="22" t="s">
        <v>118</v>
      </c>
      <c r="J63" s="22" t="s">
        <v>118</v>
      </c>
      <c r="K63" s="22" t="s">
        <v>118</v>
      </c>
      <c r="L63" s="22" t="s">
        <v>118</v>
      </c>
      <c r="M63" s="22" t="s">
        <v>118</v>
      </c>
      <c r="N63" s="22" t="s">
        <v>118</v>
      </c>
      <c r="O63" s="4"/>
      <c r="P63" s="4"/>
      <c r="Q63" s="4"/>
      <c r="R63" s="6"/>
      <c r="S63" s="6"/>
      <c r="T63" s="31" t="str">
        <f ca="1">IF(ProductionInventoryTable[[#This Row],[Campaign Name]]="","",NOW())</f>
        <v/>
      </c>
    </row>
    <row r="64" spans="1:20" ht="17.25">
      <c r="A64" s="23"/>
      <c r="B64" s="5"/>
      <c r="C64" s="4"/>
      <c r="D64" s="4"/>
      <c r="E6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64" s="4"/>
      <c r="G64" s="22" t="s">
        <v>118</v>
      </c>
      <c r="H64" s="22" t="s">
        <v>118</v>
      </c>
      <c r="I64" s="22" t="s">
        <v>118</v>
      </c>
      <c r="J64" s="22" t="s">
        <v>118</v>
      </c>
      <c r="K64" s="22" t="s">
        <v>118</v>
      </c>
      <c r="L64" s="22" t="s">
        <v>118</v>
      </c>
      <c r="M64" s="22" t="s">
        <v>118</v>
      </c>
      <c r="N64" s="22" t="s">
        <v>118</v>
      </c>
      <c r="O64" s="4"/>
      <c r="P64" s="4"/>
      <c r="Q64" s="4"/>
      <c r="R64" s="6"/>
      <c r="S64" s="6"/>
      <c r="T64" s="31" t="str">
        <f ca="1">IF(ProductionInventoryTable[[#This Row],[Campaign Name]]="","",NOW())</f>
        <v/>
      </c>
    </row>
    <row r="65" spans="1:20" ht="17.25">
      <c r="A65" s="23"/>
      <c r="B65" s="5"/>
      <c r="C65" s="4"/>
      <c r="D65" s="4"/>
      <c r="E6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65" s="4"/>
      <c r="G65" s="22" t="s">
        <v>118</v>
      </c>
      <c r="H65" s="22" t="s">
        <v>118</v>
      </c>
      <c r="I65" s="22" t="s">
        <v>118</v>
      </c>
      <c r="J65" s="22" t="s">
        <v>118</v>
      </c>
      <c r="K65" s="22" t="s">
        <v>118</v>
      </c>
      <c r="L65" s="22" t="s">
        <v>118</v>
      </c>
      <c r="M65" s="22" t="s">
        <v>118</v>
      </c>
      <c r="N65" s="22" t="s">
        <v>118</v>
      </c>
      <c r="O65" s="4"/>
      <c r="P65" s="4"/>
      <c r="Q65" s="4"/>
      <c r="R65" s="6"/>
      <c r="S65" s="6"/>
      <c r="T65" s="31" t="str">
        <f ca="1">IF(ProductionInventoryTable[[#This Row],[Campaign Name]]="","",NOW())</f>
        <v/>
      </c>
    </row>
    <row r="66" spans="1:20" ht="17.25">
      <c r="A66" s="23"/>
      <c r="B66" s="5"/>
      <c r="C66" s="4"/>
      <c r="D66" s="4"/>
      <c r="E6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66" s="4"/>
      <c r="G66" s="22" t="s">
        <v>118</v>
      </c>
      <c r="H66" s="22" t="s">
        <v>118</v>
      </c>
      <c r="I66" s="22" t="s">
        <v>118</v>
      </c>
      <c r="J66" s="22" t="s">
        <v>118</v>
      </c>
      <c r="K66" s="22" t="s">
        <v>118</v>
      </c>
      <c r="L66" s="22" t="s">
        <v>118</v>
      </c>
      <c r="M66" s="22" t="s">
        <v>118</v>
      </c>
      <c r="N66" s="22" t="s">
        <v>118</v>
      </c>
      <c r="O66" s="4"/>
      <c r="P66" s="4"/>
      <c r="Q66" s="4"/>
      <c r="R66" s="6"/>
      <c r="S66" s="6"/>
      <c r="T66" s="31" t="str">
        <f ca="1">IF(ProductionInventoryTable[[#This Row],[Campaign Name]]="","",NOW())</f>
        <v/>
      </c>
    </row>
    <row r="67" spans="1:20" ht="17.25">
      <c r="A67" s="23"/>
      <c r="B67" s="5"/>
      <c r="C67" s="4"/>
      <c r="D67" s="4"/>
      <c r="E6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67" s="4"/>
      <c r="G67" s="22" t="s">
        <v>118</v>
      </c>
      <c r="H67" s="22" t="s">
        <v>118</v>
      </c>
      <c r="I67" s="22" t="s">
        <v>118</v>
      </c>
      <c r="J67" s="22" t="s">
        <v>118</v>
      </c>
      <c r="K67" s="22" t="s">
        <v>118</v>
      </c>
      <c r="L67" s="22" t="s">
        <v>118</v>
      </c>
      <c r="M67" s="22" t="s">
        <v>118</v>
      </c>
      <c r="N67" s="22" t="s">
        <v>118</v>
      </c>
      <c r="O67" s="4"/>
      <c r="P67" s="4"/>
      <c r="Q67" s="4"/>
      <c r="R67" s="6"/>
      <c r="S67" s="6"/>
      <c r="T67" s="31" t="str">
        <f ca="1">IF(ProductionInventoryTable[[#This Row],[Campaign Name]]="","",NOW())</f>
        <v/>
      </c>
    </row>
    <row r="68" spans="1:20" ht="17.25">
      <c r="A68" s="23"/>
      <c r="B68" s="5"/>
      <c r="C68" s="4"/>
      <c r="D68" s="4"/>
      <c r="E6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68" s="4"/>
      <c r="G68" s="22" t="s">
        <v>118</v>
      </c>
      <c r="H68" s="22" t="s">
        <v>118</v>
      </c>
      <c r="I68" s="22" t="s">
        <v>118</v>
      </c>
      <c r="J68" s="22" t="s">
        <v>118</v>
      </c>
      <c r="K68" s="22" t="s">
        <v>118</v>
      </c>
      <c r="L68" s="22" t="s">
        <v>118</v>
      </c>
      <c r="M68" s="22" t="s">
        <v>118</v>
      </c>
      <c r="N68" s="22" t="s">
        <v>118</v>
      </c>
      <c r="O68" s="4"/>
      <c r="P68" s="4"/>
      <c r="Q68" s="4"/>
      <c r="R68" s="6"/>
      <c r="S68" s="6"/>
      <c r="T68" s="31" t="str">
        <f ca="1">IF(ProductionInventoryTable[[#This Row],[Campaign Name]]="","",NOW())</f>
        <v/>
      </c>
    </row>
    <row r="69" spans="1:20" ht="17.25">
      <c r="A69" s="23"/>
      <c r="B69" s="5"/>
      <c r="C69" s="4"/>
      <c r="D69" s="4"/>
      <c r="E6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69" s="4"/>
      <c r="G69" s="22" t="s">
        <v>118</v>
      </c>
      <c r="H69" s="22" t="s">
        <v>118</v>
      </c>
      <c r="I69" s="22" t="s">
        <v>118</v>
      </c>
      <c r="J69" s="22" t="s">
        <v>118</v>
      </c>
      <c r="K69" s="22" t="s">
        <v>118</v>
      </c>
      <c r="L69" s="22" t="s">
        <v>118</v>
      </c>
      <c r="M69" s="22" t="s">
        <v>118</v>
      </c>
      <c r="N69" s="22" t="s">
        <v>118</v>
      </c>
      <c r="O69" s="4"/>
      <c r="P69" s="4"/>
      <c r="Q69" s="4"/>
      <c r="R69" s="6"/>
      <c r="S69" s="6"/>
      <c r="T69" s="31" t="str">
        <f ca="1">IF(ProductionInventoryTable[[#This Row],[Campaign Name]]="","",NOW())</f>
        <v/>
      </c>
    </row>
    <row r="70" spans="1:20" ht="17.25">
      <c r="A70" s="23"/>
      <c r="B70" s="5"/>
      <c r="C70" s="4"/>
      <c r="D70" s="4"/>
      <c r="E7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70" s="4"/>
      <c r="G70" s="22" t="s">
        <v>118</v>
      </c>
      <c r="H70" s="22" t="s">
        <v>118</v>
      </c>
      <c r="I70" s="22" t="s">
        <v>118</v>
      </c>
      <c r="J70" s="22" t="s">
        <v>118</v>
      </c>
      <c r="K70" s="22" t="s">
        <v>118</v>
      </c>
      <c r="L70" s="22" t="s">
        <v>118</v>
      </c>
      <c r="M70" s="22" t="s">
        <v>118</v>
      </c>
      <c r="N70" s="22" t="s">
        <v>118</v>
      </c>
      <c r="O70" s="4"/>
      <c r="P70" s="4"/>
      <c r="Q70" s="4"/>
      <c r="R70" s="6"/>
      <c r="S70" s="6"/>
      <c r="T70" s="31" t="str">
        <f ca="1">IF(ProductionInventoryTable[[#This Row],[Campaign Name]]="","",NOW())</f>
        <v/>
      </c>
    </row>
    <row r="71" spans="1:20" ht="17.25">
      <c r="A71" s="23"/>
      <c r="B71" s="5"/>
      <c r="C71" s="4"/>
      <c r="D71" s="4"/>
      <c r="E7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71" s="4"/>
      <c r="G71" s="22" t="s">
        <v>118</v>
      </c>
      <c r="H71" s="22" t="s">
        <v>118</v>
      </c>
      <c r="I71" s="22" t="s">
        <v>118</v>
      </c>
      <c r="J71" s="22" t="s">
        <v>118</v>
      </c>
      <c r="K71" s="22" t="s">
        <v>118</v>
      </c>
      <c r="L71" s="22" t="s">
        <v>118</v>
      </c>
      <c r="M71" s="22" t="s">
        <v>118</v>
      </c>
      <c r="N71" s="22" t="s">
        <v>118</v>
      </c>
      <c r="O71" s="4"/>
      <c r="P71" s="4"/>
      <c r="Q71" s="4"/>
      <c r="R71" s="6"/>
      <c r="S71" s="6"/>
      <c r="T71" s="31" t="str">
        <f ca="1">IF(ProductionInventoryTable[[#This Row],[Campaign Name]]="","",NOW())</f>
        <v/>
      </c>
    </row>
    <row r="72" spans="1:20" ht="17.25">
      <c r="A72" s="23"/>
      <c r="B72" s="5"/>
      <c r="C72" s="4"/>
      <c r="D72" s="4"/>
      <c r="E7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72" s="4"/>
      <c r="G72" s="22" t="s">
        <v>118</v>
      </c>
      <c r="H72" s="22" t="s">
        <v>118</v>
      </c>
      <c r="I72" s="22" t="s">
        <v>118</v>
      </c>
      <c r="J72" s="22" t="s">
        <v>118</v>
      </c>
      <c r="K72" s="22" t="s">
        <v>118</v>
      </c>
      <c r="L72" s="22" t="s">
        <v>118</v>
      </c>
      <c r="M72" s="22" t="s">
        <v>118</v>
      </c>
      <c r="N72" s="22" t="s">
        <v>118</v>
      </c>
      <c r="O72" s="4"/>
      <c r="P72" s="4"/>
      <c r="Q72" s="4"/>
      <c r="R72" s="6"/>
      <c r="S72" s="6"/>
      <c r="T72" s="31" t="str">
        <f ca="1">IF(ProductionInventoryTable[[#This Row],[Campaign Name]]="","",NOW())</f>
        <v/>
      </c>
    </row>
    <row r="73" spans="1:20" ht="17.25">
      <c r="A73" s="23"/>
      <c r="B73" s="5"/>
      <c r="C73" s="4"/>
      <c r="D73" s="4"/>
      <c r="E7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73" s="4"/>
      <c r="G73" s="22" t="s">
        <v>118</v>
      </c>
      <c r="H73" s="22" t="s">
        <v>118</v>
      </c>
      <c r="I73" s="22" t="s">
        <v>118</v>
      </c>
      <c r="J73" s="22" t="s">
        <v>118</v>
      </c>
      <c r="K73" s="22" t="s">
        <v>118</v>
      </c>
      <c r="L73" s="22" t="s">
        <v>118</v>
      </c>
      <c r="M73" s="22" t="s">
        <v>118</v>
      </c>
      <c r="N73" s="22" t="s">
        <v>118</v>
      </c>
      <c r="O73" s="4"/>
      <c r="P73" s="4"/>
      <c r="Q73" s="4"/>
      <c r="R73" s="6"/>
      <c r="S73" s="6"/>
      <c r="T73" s="31" t="str">
        <f ca="1">IF(ProductionInventoryTable[[#This Row],[Campaign Name]]="","",NOW())</f>
        <v/>
      </c>
    </row>
    <row r="74" spans="1:20" ht="17.25">
      <c r="A74" s="23"/>
      <c r="B74" s="5"/>
      <c r="C74" s="4"/>
      <c r="D74" s="4"/>
      <c r="E7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74" s="4"/>
      <c r="G74" s="22" t="s">
        <v>118</v>
      </c>
      <c r="H74" s="22" t="s">
        <v>118</v>
      </c>
      <c r="I74" s="22" t="s">
        <v>118</v>
      </c>
      <c r="J74" s="22" t="s">
        <v>118</v>
      </c>
      <c r="K74" s="22" t="s">
        <v>118</v>
      </c>
      <c r="L74" s="22" t="s">
        <v>118</v>
      </c>
      <c r="M74" s="22" t="s">
        <v>118</v>
      </c>
      <c r="N74" s="22" t="s">
        <v>118</v>
      </c>
      <c r="O74" s="4"/>
      <c r="P74" s="4"/>
      <c r="Q74" s="4"/>
      <c r="R74" s="6"/>
      <c r="S74" s="6"/>
      <c r="T74" s="31" t="str">
        <f ca="1">IF(ProductionInventoryTable[[#This Row],[Campaign Name]]="","",NOW())</f>
        <v/>
      </c>
    </row>
    <row r="75" spans="1:20" ht="17.25">
      <c r="A75" s="23"/>
      <c r="B75" s="5"/>
      <c r="C75" s="4"/>
      <c r="D75" s="4"/>
      <c r="E7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75" s="4"/>
      <c r="G75" s="22" t="s">
        <v>118</v>
      </c>
      <c r="H75" s="22" t="s">
        <v>118</v>
      </c>
      <c r="I75" s="22" t="s">
        <v>118</v>
      </c>
      <c r="J75" s="22" t="s">
        <v>118</v>
      </c>
      <c r="K75" s="22" t="s">
        <v>118</v>
      </c>
      <c r="L75" s="22" t="s">
        <v>118</v>
      </c>
      <c r="M75" s="22" t="s">
        <v>118</v>
      </c>
      <c r="N75" s="22" t="s">
        <v>118</v>
      </c>
      <c r="O75" s="4"/>
      <c r="P75" s="4"/>
      <c r="Q75" s="4"/>
      <c r="R75" s="6"/>
      <c r="S75" s="6"/>
      <c r="T75" s="31" t="str">
        <f ca="1">IF(ProductionInventoryTable[[#This Row],[Campaign Name]]="","",NOW())</f>
        <v/>
      </c>
    </row>
    <row r="76" spans="1:20" ht="17.25">
      <c r="A76" s="23"/>
      <c r="B76" s="5"/>
      <c r="C76" s="4"/>
      <c r="D76" s="4"/>
      <c r="E7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76" s="4"/>
      <c r="G76" s="22" t="s">
        <v>118</v>
      </c>
      <c r="H76" s="22" t="s">
        <v>118</v>
      </c>
      <c r="I76" s="22" t="s">
        <v>118</v>
      </c>
      <c r="J76" s="22" t="s">
        <v>118</v>
      </c>
      <c r="K76" s="22" t="s">
        <v>118</v>
      </c>
      <c r="L76" s="22" t="s">
        <v>118</v>
      </c>
      <c r="M76" s="22" t="s">
        <v>118</v>
      </c>
      <c r="N76" s="22" t="s">
        <v>118</v>
      </c>
      <c r="O76" s="4"/>
      <c r="P76" s="4"/>
      <c r="Q76" s="4"/>
      <c r="R76" s="6"/>
      <c r="S76" s="6"/>
      <c r="T76" s="31" t="str">
        <f ca="1">IF(ProductionInventoryTable[[#This Row],[Campaign Name]]="","",NOW())</f>
        <v/>
      </c>
    </row>
    <row r="77" spans="1:20" ht="17.25">
      <c r="A77" s="23"/>
      <c r="B77" s="5"/>
      <c r="C77" s="4"/>
      <c r="D77" s="4"/>
      <c r="E7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77" s="4"/>
      <c r="G77" s="22" t="s">
        <v>118</v>
      </c>
      <c r="H77" s="22" t="s">
        <v>118</v>
      </c>
      <c r="I77" s="22" t="s">
        <v>118</v>
      </c>
      <c r="J77" s="22" t="s">
        <v>118</v>
      </c>
      <c r="K77" s="22" t="s">
        <v>118</v>
      </c>
      <c r="L77" s="22" t="s">
        <v>118</v>
      </c>
      <c r="M77" s="22" t="s">
        <v>118</v>
      </c>
      <c r="N77" s="22" t="s">
        <v>118</v>
      </c>
      <c r="O77" s="4"/>
      <c r="P77" s="4"/>
      <c r="Q77" s="4"/>
      <c r="R77" s="6"/>
      <c r="S77" s="6"/>
      <c r="T77" s="31" t="str">
        <f ca="1">IF(ProductionInventoryTable[[#This Row],[Campaign Name]]="","",NOW())</f>
        <v/>
      </c>
    </row>
    <row r="78" spans="1:20" ht="17.25">
      <c r="A78" s="23"/>
      <c r="B78" s="5"/>
      <c r="C78" s="4"/>
      <c r="D78" s="4"/>
      <c r="E7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78" s="4"/>
      <c r="G78" s="22" t="s">
        <v>118</v>
      </c>
      <c r="H78" s="22" t="s">
        <v>118</v>
      </c>
      <c r="I78" s="22" t="s">
        <v>118</v>
      </c>
      <c r="J78" s="22" t="s">
        <v>118</v>
      </c>
      <c r="K78" s="22" t="s">
        <v>118</v>
      </c>
      <c r="L78" s="22" t="s">
        <v>118</v>
      </c>
      <c r="M78" s="22" t="s">
        <v>118</v>
      </c>
      <c r="N78" s="22" t="s">
        <v>118</v>
      </c>
      <c r="O78" s="4"/>
      <c r="P78" s="4"/>
      <c r="Q78" s="4"/>
      <c r="R78" s="6"/>
      <c r="S78" s="6"/>
      <c r="T78" s="31" t="str">
        <f ca="1">IF(ProductionInventoryTable[[#This Row],[Campaign Name]]="","",NOW())</f>
        <v/>
      </c>
    </row>
    <row r="79" spans="1:20" ht="17.25">
      <c r="A79" s="23"/>
      <c r="B79" s="5"/>
      <c r="C79" s="4"/>
      <c r="D79" s="4"/>
      <c r="E7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79" s="4"/>
      <c r="G79" s="22" t="s">
        <v>118</v>
      </c>
      <c r="H79" s="22" t="s">
        <v>118</v>
      </c>
      <c r="I79" s="22" t="s">
        <v>118</v>
      </c>
      <c r="J79" s="22" t="s">
        <v>118</v>
      </c>
      <c r="K79" s="22" t="s">
        <v>118</v>
      </c>
      <c r="L79" s="22" t="s">
        <v>118</v>
      </c>
      <c r="M79" s="22" t="s">
        <v>118</v>
      </c>
      <c r="N79" s="22" t="s">
        <v>118</v>
      </c>
      <c r="O79" s="4"/>
      <c r="P79" s="4"/>
      <c r="Q79" s="4"/>
      <c r="R79" s="6"/>
      <c r="S79" s="6"/>
      <c r="T79" s="31" t="str">
        <f ca="1">IF(ProductionInventoryTable[[#This Row],[Campaign Name]]="","",NOW())</f>
        <v/>
      </c>
    </row>
    <row r="80" spans="1:20" ht="17.25">
      <c r="A80" s="23"/>
      <c r="B80" s="5"/>
      <c r="C80" s="4"/>
      <c r="D80" s="4"/>
      <c r="E8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80" s="4"/>
      <c r="G80" s="22" t="s">
        <v>118</v>
      </c>
      <c r="H80" s="22" t="s">
        <v>118</v>
      </c>
      <c r="I80" s="22" t="s">
        <v>118</v>
      </c>
      <c r="J80" s="22" t="s">
        <v>118</v>
      </c>
      <c r="K80" s="22" t="s">
        <v>118</v>
      </c>
      <c r="L80" s="22" t="s">
        <v>118</v>
      </c>
      <c r="M80" s="22" t="s">
        <v>118</v>
      </c>
      <c r="N80" s="22" t="s">
        <v>118</v>
      </c>
      <c r="O80" s="4"/>
      <c r="P80" s="4"/>
      <c r="Q80" s="4"/>
      <c r="R80" s="6"/>
      <c r="S80" s="6"/>
      <c r="T80" s="31" t="str">
        <f ca="1">IF(ProductionInventoryTable[[#This Row],[Campaign Name]]="","",NOW())</f>
        <v/>
      </c>
    </row>
    <row r="81" spans="1:20" ht="17.25">
      <c r="A81" s="23"/>
      <c r="B81" s="5"/>
      <c r="C81" s="4"/>
      <c r="D81" s="4"/>
      <c r="E8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81" s="4"/>
      <c r="G81" s="22" t="s">
        <v>118</v>
      </c>
      <c r="H81" s="22" t="s">
        <v>118</v>
      </c>
      <c r="I81" s="22" t="s">
        <v>118</v>
      </c>
      <c r="J81" s="22" t="s">
        <v>118</v>
      </c>
      <c r="K81" s="22" t="s">
        <v>118</v>
      </c>
      <c r="L81" s="22" t="s">
        <v>118</v>
      </c>
      <c r="M81" s="22" t="s">
        <v>118</v>
      </c>
      <c r="N81" s="22" t="s">
        <v>118</v>
      </c>
      <c r="O81" s="4"/>
      <c r="P81" s="4"/>
      <c r="Q81" s="4"/>
      <c r="R81" s="6"/>
      <c r="S81" s="6"/>
      <c r="T81" s="31" t="str">
        <f ca="1">IF(ProductionInventoryTable[[#This Row],[Campaign Name]]="","",NOW())</f>
        <v/>
      </c>
    </row>
    <row r="82" spans="1:20" ht="17.25">
      <c r="A82" s="23"/>
      <c r="B82" s="5"/>
      <c r="C82" s="4"/>
      <c r="D82" s="4"/>
      <c r="E8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82" s="4"/>
      <c r="G82" s="22" t="s">
        <v>118</v>
      </c>
      <c r="H82" s="22" t="s">
        <v>118</v>
      </c>
      <c r="I82" s="22" t="s">
        <v>118</v>
      </c>
      <c r="J82" s="22" t="s">
        <v>118</v>
      </c>
      <c r="K82" s="22" t="s">
        <v>118</v>
      </c>
      <c r="L82" s="22" t="s">
        <v>118</v>
      </c>
      <c r="M82" s="22" t="s">
        <v>118</v>
      </c>
      <c r="N82" s="22" t="s">
        <v>118</v>
      </c>
      <c r="O82" s="4"/>
      <c r="P82" s="4"/>
      <c r="Q82" s="4"/>
      <c r="R82" s="6"/>
      <c r="S82" s="6"/>
      <c r="T82" s="31" t="str">
        <f ca="1">IF(ProductionInventoryTable[[#This Row],[Campaign Name]]="","",NOW())</f>
        <v/>
      </c>
    </row>
    <row r="83" spans="1:20" ht="17.25">
      <c r="A83" s="23"/>
      <c r="B83" s="5"/>
      <c r="C83" s="4"/>
      <c r="D83" s="4"/>
      <c r="E8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83" s="4"/>
      <c r="G83" s="22" t="s">
        <v>118</v>
      </c>
      <c r="H83" s="22" t="s">
        <v>118</v>
      </c>
      <c r="I83" s="22" t="s">
        <v>118</v>
      </c>
      <c r="J83" s="22" t="s">
        <v>118</v>
      </c>
      <c r="K83" s="22" t="s">
        <v>118</v>
      </c>
      <c r="L83" s="22" t="s">
        <v>118</v>
      </c>
      <c r="M83" s="22" t="s">
        <v>118</v>
      </c>
      <c r="N83" s="22" t="s">
        <v>118</v>
      </c>
      <c r="O83" s="4"/>
      <c r="P83" s="4"/>
      <c r="Q83" s="4"/>
      <c r="R83" s="6"/>
      <c r="S83" s="6"/>
      <c r="T83" s="31" t="str">
        <f ca="1">IF(ProductionInventoryTable[[#This Row],[Campaign Name]]="","",NOW())</f>
        <v/>
      </c>
    </row>
    <row r="84" spans="1:20" ht="17.25">
      <c r="A84" s="23"/>
      <c r="B84" s="5"/>
      <c r="C84" s="4"/>
      <c r="D84" s="4"/>
      <c r="E8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84" s="4"/>
      <c r="G84" s="22" t="s">
        <v>118</v>
      </c>
      <c r="H84" s="22" t="s">
        <v>118</v>
      </c>
      <c r="I84" s="22" t="s">
        <v>118</v>
      </c>
      <c r="J84" s="22" t="s">
        <v>118</v>
      </c>
      <c r="K84" s="22" t="s">
        <v>118</v>
      </c>
      <c r="L84" s="22" t="s">
        <v>118</v>
      </c>
      <c r="M84" s="22" t="s">
        <v>118</v>
      </c>
      <c r="N84" s="22" t="s">
        <v>118</v>
      </c>
      <c r="O84" s="4"/>
      <c r="P84" s="4"/>
      <c r="Q84" s="4"/>
      <c r="R84" s="6"/>
      <c r="S84" s="6"/>
      <c r="T84" s="31" t="str">
        <f ca="1">IF(ProductionInventoryTable[[#This Row],[Campaign Name]]="","",NOW())</f>
        <v/>
      </c>
    </row>
    <row r="85" spans="1:20" ht="17.25">
      <c r="A85" s="23"/>
      <c r="B85" s="5"/>
      <c r="C85" s="4"/>
      <c r="D85" s="4"/>
      <c r="E8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85" s="4"/>
      <c r="G85" s="22" t="s">
        <v>118</v>
      </c>
      <c r="H85" s="22" t="s">
        <v>118</v>
      </c>
      <c r="I85" s="22" t="s">
        <v>118</v>
      </c>
      <c r="J85" s="22" t="s">
        <v>118</v>
      </c>
      <c r="K85" s="22" t="s">
        <v>118</v>
      </c>
      <c r="L85" s="22" t="s">
        <v>118</v>
      </c>
      <c r="M85" s="22" t="s">
        <v>118</v>
      </c>
      <c r="N85" s="22" t="s">
        <v>118</v>
      </c>
      <c r="O85" s="4"/>
      <c r="P85" s="4"/>
      <c r="Q85" s="4"/>
      <c r="R85" s="6"/>
      <c r="S85" s="6"/>
      <c r="T85" s="31" t="str">
        <f ca="1">IF(ProductionInventoryTable[[#This Row],[Campaign Name]]="","",NOW())</f>
        <v/>
      </c>
    </row>
    <row r="86" spans="1:20" ht="17.25">
      <c r="A86" s="23"/>
      <c r="B86" s="5"/>
      <c r="C86" s="4"/>
      <c r="D86" s="4"/>
      <c r="E8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86" s="4"/>
      <c r="G86" s="22" t="s">
        <v>118</v>
      </c>
      <c r="H86" s="22" t="s">
        <v>118</v>
      </c>
      <c r="I86" s="22" t="s">
        <v>118</v>
      </c>
      <c r="J86" s="22" t="s">
        <v>118</v>
      </c>
      <c r="K86" s="22" t="s">
        <v>118</v>
      </c>
      <c r="L86" s="22" t="s">
        <v>118</v>
      </c>
      <c r="M86" s="22" t="s">
        <v>118</v>
      </c>
      <c r="N86" s="22" t="s">
        <v>118</v>
      </c>
      <c r="O86" s="4"/>
      <c r="P86" s="4"/>
      <c r="Q86" s="4"/>
      <c r="R86" s="6"/>
      <c r="S86" s="6"/>
      <c r="T86" s="31" t="str">
        <f ca="1">IF(ProductionInventoryTable[[#This Row],[Campaign Name]]="","",NOW())</f>
        <v/>
      </c>
    </row>
    <row r="87" spans="1:20" ht="17.25">
      <c r="A87" s="23"/>
      <c r="B87" s="5"/>
      <c r="C87" s="4"/>
      <c r="D87" s="4"/>
      <c r="E8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87" s="4"/>
      <c r="G87" s="22" t="s">
        <v>118</v>
      </c>
      <c r="H87" s="22" t="s">
        <v>118</v>
      </c>
      <c r="I87" s="22" t="s">
        <v>118</v>
      </c>
      <c r="J87" s="22" t="s">
        <v>118</v>
      </c>
      <c r="K87" s="22" t="s">
        <v>118</v>
      </c>
      <c r="L87" s="22" t="s">
        <v>118</v>
      </c>
      <c r="M87" s="22" t="s">
        <v>118</v>
      </c>
      <c r="N87" s="22" t="s">
        <v>118</v>
      </c>
      <c r="O87" s="4"/>
      <c r="P87" s="4"/>
      <c r="Q87" s="4"/>
      <c r="R87" s="6"/>
      <c r="S87" s="6"/>
      <c r="T87" s="31" t="str">
        <f ca="1">IF(ProductionInventoryTable[[#This Row],[Campaign Name]]="","",NOW())</f>
        <v/>
      </c>
    </row>
    <row r="88" spans="1:20" ht="17.25">
      <c r="A88" s="23"/>
      <c r="B88" s="5"/>
      <c r="C88" s="4"/>
      <c r="D88" s="4"/>
      <c r="E8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88" s="4"/>
      <c r="G88" s="22" t="s">
        <v>118</v>
      </c>
      <c r="H88" s="22" t="s">
        <v>118</v>
      </c>
      <c r="I88" s="22" t="s">
        <v>118</v>
      </c>
      <c r="J88" s="22" t="s">
        <v>118</v>
      </c>
      <c r="K88" s="22" t="s">
        <v>118</v>
      </c>
      <c r="L88" s="22" t="s">
        <v>118</v>
      </c>
      <c r="M88" s="22" t="s">
        <v>118</v>
      </c>
      <c r="N88" s="22" t="s">
        <v>118</v>
      </c>
      <c r="O88" s="4"/>
      <c r="P88" s="4"/>
      <c r="Q88" s="4"/>
      <c r="R88" s="6"/>
      <c r="S88" s="6"/>
      <c r="T88" s="31" t="str">
        <f ca="1">IF(ProductionInventoryTable[[#This Row],[Campaign Name]]="","",NOW())</f>
        <v/>
      </c>
    </row>
    <row r="89" spans="1:20" ht="17.25">
      <c r="A89" s="23"/>
      <c r="B89" s="5"/>
      <c r="C89" s="4"/>
      <c r="D89" s="4"/>
      <c r="E8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89" s="4"/>
      <c r="G89" s="22" t="s">
        <v>118</v>
      </c>
      <c r="H89" s="22" t="s">
        <v>118</v>
      </c>
      <c r="I89" s="22" t="s">
        <v>118</v>
      </c>
      <c r="J89" s="22" t="s">
        <v>118</v>
      </c>
      <c r="K89" s="22" t="s">
        <v>118</v>
      </c>
      <c r="L89" s="22" t="s">
        <v>118</v>
      </c>
      <c r="M89" s="22" t="s">
        <v>118</v>
      </c>
      <c r="N89" s="22" t="s">
        <v>118</v>
      </c>
      <c r="O89" s="4"/>
      <c r="P89" s="4"/>
      <c r="Q89" s="4"/>
      <c r="R89" s="6"/>
      <c r="S89" s="6"/>
      <c r="T89" s="31" t="str">
        <f ca="1">IF(ProductionInventoryTable[[#This Row],[Campaign Name]]="","",NOW())</f>
        <v/>
      </c>
    </row>
    <row r="90" spans="1:20" ht="17.25">
      <c r="A90" s="23"/>
      <c r="B90" s="5"/>
      <c r="C90" s="4"/>
      <c r="D90" s="4"/>
      <c r="E9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0" s="4"/>
      <c r="G90" s="22" t="s">
        <v>118</v>
      </c>
      <c r="H90" s="22" t="s">
        <v>118</v>
      </c>
      <c r="I90" s="22" t="s">
        <v>118</v>
      </c>
      <c r="J90" s="22" t="s">
        <v>118</v>
      </c>
      <c r="K90" s="22" t="s">
        <v>118</v>
      </c>
      <c r="L90" s="22" t="s">
        <v>118</v>
      </c>
      <c r="M90" s="22" t="s">
        <v>118</v>
      </c>
      <c r="N90" s="22" t="s">
        <v>118</v>
      </c>
      <c r="O90" s="4"/>
      <c r="P90" s="4"/>
      <c r="Q90" s="4"/>
      <c r="R90" s="6"/>
      <c r="S90" s="6"/>
      <c r="T90" s="31" t="str">
        <f ca="1">IF(ProductionInventoryTable[[#This Row],[Campaign Name]]="","",NOW())</f>
        <v/>
      </c>
    </row>
    <row r="91" spans="1:20" ht="17.25">
      <c r="A91" s="23"/>
      <c r="B91" s="5"/>
      <c r="C91" s="4"/>
      <c r="D91" s="4"/>
      <c r="E9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1" s="4"/>
      <c r="G91" s="22" t="s">
        <v>118</v>
      </c>
      <c r="H91" s="22" t="s">
        <v>118</v>
      </c>
      <c r="I91" s="22" t="s">
        <v>118</v>
      </c>
      <c r="J91" s="22" t="s">
        <v>118</v>
      </c>
      <c r="K91" s="22" t="s">
        <v>118</v>
      </c>
      <c r="L91" s="22" t="s">
        <v>118</v>
      </c>
      <c r="M91" s="22" t="s">
        <v>118</v>
      </c>
      <c r="N91" s="22" t="s">
        <v>118</v>
      </c>
      <c r="O91" s="4"/>
      <c r="P91" s="4"/>
      <c r="Q91" s="4"/>
      <c r="R91" s="6"/>
      <c r="S91" s="6"/>
      <c r="T91" s="31" t="str">
        <f ca="1">IF(ProductionInventoryTable[[#This Row],[Campaign Name]]="","",NOW())</f>
        <v/>
      </c>
    </row>
    <row r="92" spans="1:20" ht="17.25">
      <c r="A92" s="23"/>
      <c r="B92" s="5"/>
      <c r="C92" s="4"/>
      <c r="D92" s="4"/>
      <c r="E9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2" s="4"/>
      <c r="G92" s="22" t="s">
        <v>118</v>
      </c>
      <c r="H92" s="22" t="s">
        <v>118</v>
      </c>
      <c r="I92" s="22" t="s">
        <v>118</v>
      </c>
      <c r="J92" s="22" t="s">
        <v>118</v>
      </c>
      <c r="K92" s="22" t="s">
        <v>118</v>
      </c>
      <c r="L92" s="22" t="s">
        <v>118</v>
      </c>
      <c r="M92" s="22" t="s">
        <v>118</v>
      </c>
      <c r="N92" s="22" t="s">
        <v>118</v>
      </c>
      <c r="O92" s="4"/>
      <c r="P92" s="4"/>
      <c r="Q92" s="4"/>
      <c r="R92" s="6"/>
      <c r="S92" s="6"/>
      <c r="T92" s="31" t="str">
        <f ca="1">IF(ProductionInventoryTable[[#This Row],[Campaign Name]]="","",NOW())</f>
        <v/>
      </c>
    </row>
    <row r="93" spans="1:20" ht="17.25">
      <c r="A93" s="23"/>
      <c r="B93" s="5"/>
      <c r="C93" s="4"/>
      <c r="D93" s="4"/>
      <c r="E9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3" s="4"/>
      <c r="G93" s="22" t="s">
        <v>118</v>
      </c>
      <c r="H93" s="22" t="s">
        <v>118</v>
      </c>
      <c r="I93" s="22" t="s">
        <v>118</v>
      </c>
      <c r="J93" s="22" t="s">
        <v>118</v>
      </c>
      <c r="K93" s="22" t="s">
        <v>118</v>
      </c>
      <c r="L93" s="22" t="s">
        <v>118</v>
      </c>
      <c r="M93" s="22" t="s">
        <v>118</v>
      </c>
      <c r="N93" s="22" t="s">
        <v>118</v>
      </c>
      <c r="O93" s="4"/>
      <c r="P93" s="4"/>
      <c r="Q93" s="4"/>
      <c r="R93" s="6"/>
      <c r="S93" s="6"/>
      <c r="T93" s="31" t="str">
        <f ca="1">IF(ProductionInventoryTable[[#This Row],[Campaign Name]]="","",NOW())</f>
        <v/>
      </c>
    </row>
    <row r="94" spans="1:20" ht="17.25">
      <c r="A94" s="23"/>
      <c r="B94" s="5"/>
      <c r="C94" s="4"/>
      <c r="D94" s="4"/>
      <c r="E9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4" s="4"/>
      <c r="G94" s="22" t="s">
        <v>118</v>
      </c>
      <c r="H94" s="22" t="s">
        <v>118</v>
      </c>
      <c r="I94" s="22" t="s">
        <v>118</v>
      </c>
      <c r="J94" s="22" t="s">
        <v>118</v>
      </c>
      <c r="K94" s="22" t="s">
        <v>118</v>
      </c>
      <c r="L94" s="22" t="s">
        <v>118</v>
      </c>
      <c r="M94" s="22" t="s">
        <v>118</v>
      </c>
      <c r="N94" s="22" t="s">
        <v>118</v>
      </c>
      <c r="O94" s="4"/>
      <c r="P94" s="4"/>
      <c r="Q94" s="4"/>
      <c r="R94" s="6"/>
      <c r="S94" s="6"/>
      <c r="T94" s="31" t="str">
        <f ca="1">IF(ProductionInventoryTable[[#This Row],[Campaign Name]]="","",NOW())</f>
        <v/>
      </c>
    </row>
    <row r="95" spans="1:20" ht="17.25">
      <c r="A95" s="23"/>
      <c r="B95" s="5"/>
      <c r="C95" s="4"/>
      <c r="D95" s="4"/>
      <c r="E9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5" s="4"/>
      <c r="G95" s="22" t="s">
        <v>118</v>
      </c>
      <c r="H95" s="22" t="s">
        <v>118</v>
      </c>
      <c r="I95" s="22" t="s">
        <v>118</v>
      </c>
      <c r="J95" s="22" t="s">
        <v>118</v>
      </c>
      <c r="K95" s="22" t="s">
        <v>118</v>
      </c>
      <c r="L95" s="22" t="s">
        <v>118</v>
      </c>
      <c r="M95" s="22" t="s">
        <v>118</v>
      </c>
      <c r="N95" s="22" t="s">
        <v>118</v>
      </c>
      <c r="O95" s="4"/>
      <c r="P95" s="4"/>
      <c r="Q95" s="4"/>
      <c r="R95" s="6"/>
      <c r="S95" s="6"/>
      <c r="T95" s="31" t="str">
        <f ca="1">IF(ProductionInventoryTable[[#This Row],[Campaign Name]]="","",NOW())</f>
        <v/>
      </c>
    </row>
    <row r="96" spans="1:20" ht="17.25">
      <c r="A96" s="23"/>
      <c r="B96" s="5"/>
      <c r="C96" s="4"/>
      <c r="D96" s="4"/>
      <c r="E9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6" s="4"/>
      <c r="G96" s="22" t="s">
        <v>118</v>
      </c>
      <c r="H96" s="22" t="s">
        <v>118</v>
      </c>
      <c r="I96" s="22" t="s">
        <v>118</v>
      </c>
      <c r="J96" s="22" t="s">
        <v>118</v>
      </c>
      <c r="K96" s="22" t="s">
        <v>118</v>
      </c>
      <c r="L96" s="22" t="s">
        <v>118</v>
      </c>
      <c r="M96" s="22" t="s">
        <v>118</v>
      </c>
      <c r="N96" s="22" t="s">
        <v>118</v>
      </c>
      <c r="O96" s="4"/>
      <c r="P96" s="4"/>
      <c r="Q96" s="4"/>
      <c r="R96" s="6"/>
      <c r="S96" s="6"/>
      <c r="T96" s="31" t="str">
        <f ca="1">IF(ProductionInventoryTable[[#This Row],[Campaign Name]]="","",NOW())</f>
        <v/>
      </c>
    </row>
    <row r="97" spans="1:20" ht="17.25">
      <c r="A97" s="23"/>
      <c r="B97" s="5"/>
      <c r="C97" s="4"/>
      <c r="D97" s="4"/>
      <c r="E9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7" s="4"/>
      <c r="G97" s="22" t="s">
        <v>118</v>
      </c>
      <c r="H97" s="22" t="s">
        <v>118</v>
      </c>
      <c r="I97" s="22" t="s">
        <v>118</v>
      </c>
      <c r="J97" s="22" t="s">
        <v>118</v>
      </c>
      <c r="K97" s="22" t="s">
        <v>118</v>
      </c>
      <c r="L97" s="22" t="s">
        <v>118</v>
      </c>
      <c r="M97" s="22" t="s">
        <v>118</v>
      </c>
      <c r="N97" s="22" t="s">
        <v>118</v>
      </c>
      <c r="O97" s="4"/>
      <c r="P97" s="4"/>
      <c r="Q97" s="4"/>
      <c r="R97" s="6"/>
      <c r="S97" s="6"/>
      <c r="T97" s="31" t="str">
        <f ca="1">IF(ProductionInventoryTable[[#This Row],[Campaign Name]]="","",NOW())</f>
        <v/>
      </c>
    </row>
    <row r="98" spans="1:20" ht="17.25">
      <c r="A98" s="23"/>
      <c r="B98" s="5"/>
      <c r="C98" s="4"/>
      <c r="D98" s="4"/>
      <c r="E9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8" s="4"/>
      <c r="G98" s="22" t="s">
        <v>118</v>
      </c>
      <c r="H98" s="22" t="s">
        <v>118</v>
      </c>
      <c r="I98" s="22" t="s">
        <v>118</v>
      </c>
      <c r="J98" s="22" t="s">
        <v>118</v>
      </c>
      <c r="K98" s="22" t="s">
        <v>118</v>
      </c>
      <c r="L98" s="22" t="s">
        <v>118</v>
      </c>
      <c r="M98" s="22" t="s">
        <v>118</v>
      </c>
      <c r="N98" s="22" t="s">
        <v>118</v>
      </c>
      <c r="O98" s="4"/>
      <c r="P98" s="4"/>
      <c r="Q98" s="4"/>
      <c r="R98" s="6"/>
      <c r="S98" s="6"/>
      <c r="T98" s="31" t="str">
        <f ca="1">IF(ProductionInventoryTable[[#This Row],[Campaign Name]]="","",NOW())</f>
        <v/>
      </c>
    </row>
    <row r="99" spans="1:20" ht="17.25">
      <c r="A99" s="23"/>
      <c r="B99" s="5"/>
      <c r="C99" s="4"/>
      <c r="D99" s="4"/>
      <c r="E9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99" s="4"/>
      <c r="G99" s="22" t="s">
        <v>118</v>
      </c>
      <c r="H99" s="22" t="s">
        <v>118</v>
      </c>
      <c r="I99" s="22" t="s">
        <v>118</v>
      </c>
      <c r="J99" s="22" t="s">
        <v>118</v>
      </c>
      <c r="K99" s="22" t="s">
        <v>118</v>
      </c>
      <c r="L99" s="22" t="s">
        <v>118</v>
      </c>
      <c r="M99" s="22" t="s">
        <v>118</v>
      </c>
      <c r="N99" s="22" t="s">
        <v>118</v>
      </c>
      <c r="O99" s="4"/>
      <c r="P99" s="4"/>
      <c r="Q99" s="4"/>
      <c r="R99" s="6"/>
      <c r="S99" s="6"/>
      <c r="T99" s="31" t="str">
        <f ca="1">IF(ProductionInventoryTable[[#This Row],[Campaign Name]]="","",NOW())</f>
        <v/>
      </c>
    </row>
    <row r="100" spans="1:20" ht="17.25">
      <c r="A100" s="23"/>
      <c r="B100" s="5"/>
      <c r="C100" s="4"/>
      <c r="D100" s="4"/>
      <c r="E10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0" s="4"/>
      <c r="G100" s="22" t="s">
        <v>118</v>
      </c>
      <c r="H100" s="22" t="s">
        <v>118</v>
      </c>
      <c r="I100" s="22" t="s">
        <v>118</v>
      </c>
      <c r="J100" s="22" t="s">
        <v>118</v>
      </c>
      <c r="K100" s="22" t="s">
        <v>118</v>
      </c>
      <c r="L100" s="22" t="s">
        <v>118</v>
      </c>
      <c r="M100" s="22" t="s">
        <v>118</v>
      </c>
      <c r="N100" s="22" t="s">
        <v>118</v>
      </c>
      <c r="O100" s="4"/>
      <c r="P100" s="4"/>
      <c r="Q100" s="4"/>
      <c r="R100" s="6"/>
      <c r="S100" s="6"/>
      <c r="T100" s="31" t="str">
        <f ca="1">IF(ProductionInventoryTable[[#This Row],[Campaign Name]]="","",NOW())</f>
        <v/>
      </c>
    </row>
    <row r="101" spans="1:20" ht="17.25">
      <c r="A101" s="23"/>
      <c r="B101" s="5"/>
      <c r="C101" s="4"/>
      <c r="D101" s="4"/>
      <c r="E10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1" s="4"/>
      <c r="G101" s="22" t="s">
        <v>118</v>
      </c>
      <c r="H101" s="22" t="s">
        <v>118</v>
      </c>
      <c r="I101" s="22" t="s">
        <v>118</v>
      </c>
      <c r="J101" s="22" t="s">
        <v>118</v>
      </c>
      <c r="K101" s="22" t="s">
        <v>118</v>
      </c>
      <c r="L101" s="22" t="s">
        <v>118</v>
      </c>
      <c r="M101" s="22" t="s">
        <v>118</v>
      </c>
      <c r="N101" s="22" t="s">
        <v>118</v>
      </c>
      <c r="O101" s="4"/>
      <c r="P101" s="4"/>
      <c r="Q101" s="4"/>
      <c r="R101" s="6"/>
      <c r="S101" s="6"/>
      <c r="T101" s="31" t="str">
        <f ca="1">IF(ProductionInventoryTable[[#This Row],[Campaign Name]]="","",NOW())</f>
        <v/>
      </c>
    </row>
    <row r="102" spans="1:20" ht="17.25">
      <c r="A102" s="23"/>
      <c r="B102" s="5"/>
      <c r="C102" s="4"/>
      <c r="D102" s="4"/>
      <c r="E10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2" s="4"/>
      <c r="G102" s="22" t="s">
        <v>118</v>
      </c>
      <c r="H102" s="22" t="s">
        <v>118</v>
      </c>
      <c r="I102" s="22" t="s">
        <v>118</v>
      </c>
      <c r="J102" s="22" t="s">
        <v>118</v>
      </c>
      <c r="K102" s="22" t="s">
        <v>118</v>
      </c>
      <c r="L102" s="22" t="s">
        <v>118</v>
      </c>
      <c r="M102" s="22" t="s">
        <v>118</v>
      </c>
      <c r="N102" s="22" t="s">
        <v>118</v>
      </c>
      <c r="O102" s="4"/>
      <c r="P102" s="4"/>
      <c r="Q102" s="4"/>
      <c r="R102" s="6"/>
      <c r="S102" s="6"/>
      <c r="T102" s="31" t="str">
        <f ca="1">IF(ProductionInventoryTable[[#This Row],[Campaign Name]]="","",NOW())</f>
        <v/>
      </c>
    </row>
    <row r="103" spans="1:20" ht="17.25">
      <c r="A103" s="23"/>
      <c r="B103" s="5"/>
      <c r="C103" s="4"/>
      <c r="D103" s="4"/>
      <c r="E10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3" s="4"/>
      <c r="G103" s="22" t="s">
        <v>118</v>
      </c>
      <c r="H103" s="22" t="s">
        <v>118</v>
      </c>
      <c r="I103" s="22" t="s">
        <v>118</v>
      </c>
      <c r="J103" s="22" t="s">
        <v>118</v>
      </c>
      <c r="K103" s="22" t="s">
        <v>118</v>
      </c>
      <c r="L103" s="22" t="s">
        <v>118</v>
      </c>
      <c r="M103" s="22" t="s">
        <v>118</v>
      </c>
      <c r="N103" s="22" t="s">
        <v>118</v>
      </c>
      <c r="O103" s="4"/>
      <c r="P103" s="4"/>
      <c r="Q103" s="4"/>
      <c r="R103" s="6"/>
      <c r="S103" s="6"/>
      <c r="T103" s="31" t="str">
        <f ca="1">IF(ProductionInventoryTable[[#This Row],[Campaign Name]]="","",NOW())</f>
        <v/>
      </c>
    </row>
    <row r="104" spans="1:20" ht="17.25">
      <c r="A104" s="23"/>
      <c r="B104" s="5"/>
      <c r="C104" s="4"/>
      <c r="D104" s="4"/>
      <c r="E10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4" s="4"/>
      <c r="G104" s="22" t="s">
        <v>118</v>
      </c>
      <c r="H104" s="22" t="s">
        <v>118</v>
      </c>
      <c r="I104" s="22" t="s">
        <v>118</v>
      </c>
      <c r="J104" s="22" t="s">
        <v>118</v>
      </c>
      <c r="K104" s="22" t="s">
        <v>118</v>
      </c>
      <c r="L104" s="22" t="s">
        <v>118</v>
      </c>
      <c r="M104" s="22" t="s">
        <v>118</v>
      </c>
      <c r="N104" s="22" t="s">
        <v>118</v>
      </c>
      <c r="O104" s="4"/>
      <c r="P104" s="4"/>
      <c r="Q104" s="4"/>
      <c r="R104" s="6"/>
      <c r="S104" s="6"/>
      <c r="T104" s="31" t="str">
        <f ca="1">IF(ProductionInventoryTable[[#This Row],[Campaign Name]]="","",NOW())</f>
        <v/>
      </c>
    </row>
    <row r="105" spans="1:20" ht="17.25">
      <c r="A105" s="23"/>
      <c r="B105" s="5"/>
      <c r="C105" s="4"/>
      <c r="D105" s="4"/>
      <c r="E10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5" s="4"/>
      <c r="G105" s="22" t="s">
        <v>118</v>
      </c>
      <c r="H105" s="22" t="s">
        <v>118</v>
      </c>
      <c r="I105" s="22" t="s">
        <v>118</v>
      </c>
      <c r="J105" s="22" t="s">
        <v>118</v>
      </c>
      <c r="K105" s="22" t="s">
        <v>118</v>
      </c>
      <c r="L105" s="22" t="s">
        <v>118</v>
      </c>
      <c r="M105" s="22" t="s">
        <v>118</v>
      </c>
      <c r="N105" s="22" t="s">
        <v>118</v>
      </c>
      <c r="O105" s="4"/>
      <c r="P105" s="4"/>
      <c r="Q105" s="4"/>
      <c r="R105" s="6"/>
      <c r="S105" s="6"/>
      <c r="T105" s="31" t="str">
        <f ca="1">IF(ProductionInventoryTable[[#This Row],[Campaign Name]]="","",NOW())</f>
        <v/>
      </c>
    </row>
    <row r="106" spans="1:20" ht="17.25">
      <c r="A106" s="23"/>
      <c r="B106" s="5"/>
      <c r="C106" s="4"/>
      <c r="D106" s="4"/>
      <c r="E10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6" s="4"/>
      <c r="G106" s="22" t="s">
        <v>118</v>
      </c>
      <c r="H106" s="22" t="s">
        <v>118</v>
      </c>
      <c r="I106" s="22" t="s">
        <v>118</v>
      </c>
      <c r="J106" s="22" t="s">
        <v>118</v>
      </c>
      <c r="K106" s="22" t="s">
        <v>118</v>
      </c>
      <c r="L106" s="22" t="s">
        <v>118</v>
      </c>
      <c r="M106" s="22" t="s">
        <v>118</v>
      </c>
      <c r="N106" s="22" t="s">
        <v>118</v>
      </c>
      <c r="O106" s="4"/>
      <c r="P106" s="4"/>
      <c r="Q106" s="4"/>
      <c r="R106" s="6"/>
      <c r="S106" s="6"/>
      <c r="T106" s="31" t="str">
        <f ca="1">IF(ProductionInventoryTable[[#This Row],[Campaign Name]]="","",NOW())</f>
        <v/>
      </c>
    </row>
    <row r="107" spans="1:20" ht="17.25">
      <c r="A107" s="23"/>
      <c r="B107" s="5"/>
      <c r="C107" s="4"/>
      <c r="D107" s="4"/>
      <c r="E10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7" s="4"/>
      <c r="G107" s="22" t="s">
        <v>118</v>
      </c>
      <c r="H107" s="22" t="s">
        <v>118</v>
      </c>
      <c r="I107" s="22" t="s">
        <v>118</v>
      </c>
      <c r="J107" s="22" t="s">
        <v>118</v>
      </c>
      <c r="K107" s="22" t="s">
        <v>118</v>
      </c>
      <c r="L107" s="22" t="s">
        <v>118</v>
      </c>
      <c r="M107" s="22" t="s">
        <v>118</v>
      </c>
      <c r="N107" s="22" t="s">
        <v>118</v>
      </c>
      <c r="O107" s="4"/>
      <c r="P107" s="4"/>
      <c r="Q107" s="4"/>
      <c r="R107" s="6"/>
      <c r="S107" s="6"/>
      <c r="T107" s="31" t="str">
        <f ca="1">IF(ProductionInventoryTable[[#This Row],[Campaign Name]]="","",NOW())</f>
        <v/>
      </c>
    </row>
    <row r="108" spans="1:20" ht="17.25">
      <c r="A108" s="23"/>
      <c r="B108" s="5"/>
      <c r="C108" s="4"/>
      <c r="D108" s="4"/>
      <c r="E10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8" s="4"/>
      <c r="G108" s="22" t="s">
        <v>118</v>
      </c>
      <c r="H108" s="22" t="s">
        <v>118</v>
      </c>
      <c r="I108" s="22" t="s">
        <v>118</v>
      </c>
      <c r="J108" s="22" t="s">
        <v>118</v>
      </c>
      <c r="K108" s="22" t="s">
        <v>118</v>
      </c>
      <c r="L108" s="22" t="s">
        <v>118</v>
      </c>
      <c r="M108" s="22" t="s">
        <v>118</v>
      </c>
      <c r="N108" s="22" t="s">
        <v>118</v>
      </c>
      <c r="O108" s="4"/>
      <c r="P108" s="4"/>
      <c r="Q108" s="4"/>
      <c r="R108" s="6"/>
      <c r="S108" s="6"/>
      <c r="T108" s="31" t="str">
        <f ca="1">IF(ProductionInventoryTable[[#This Row],[Campaign Name]]="","",NOW())</f>
        <v/>
      </c>
    </row>
    <row r="109" spans="1:20" ht="17.25">
      <c r="A109" s="23"/>
      <c r="B109" s="5"/>
      <c r="C109" s="4"/>
      <c r="D109" s="4"/>
      <c r="E10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09" s="4"/>
      <c r="G109" s="22" t="s">
        <v>118</v>
      </c>
      <c r="H109" s="22" t="s">
        <v>118</v>
      </c>
      <c r="I109" s="22" t="s">
        <v>118</v>
      </c>
      <c r="J109" s="22" t="s">
        <v>118</v>
      </c>
      <c r="K109" s="22" t="s">
        <v>118</v>
      </c>
      <c r="L109" s="22" t="s">
        <v>118</v>
      </c>
      <c r="M109" s="22" t="s">
        <v>118</v>
      </c>
      <c r="N109" s="22" t="s">
        <v>118</v>
      </c>
      <c r="O109" s="4"/>
      <c r="P109" s="4"/>
      <c r="Q109" s="4"/>
      <c r="R109" s="6"/>
      <c r="S109" s="6"/>
      <c r="T109" s="31" t="str">
        <f ca="1">IF(ProductionInventoryTable[[#This Row],[Campaign Name]]="","",NOW())</f>
        <v/>
      </c>
    </row>
    <row r="110" spans="1:20" ht="17.25">
      <c r="A110" s="23"/>
      <c r="B110" s="5"/>
      <c r="C110" s="4"/>
      <c r="D110" s="4"/>
      <c r="E11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0" s="4"/>
      <c r="G110" s="22" t="s">
        <v>118</v>
      </c>
      <c r="H110" s="22" t="s">
        <v>118</v>
      </c>
      <c r="I110" s="22" t="s">
        <v>118</v>
      </c>
      <c r="J110" s="22" t="s">
        <v>118</v>
      </c>
      <c r="K110" s="22" t="s">
        <v>118</v>
      </c>
      <c r="L110" s="22" t="s">
        <v>118</v>
      </c>
      <c r="M110" s="22" t="s">
        <v>118</v>
      </c>
      <c r="N110" s="22" t="s">
        <v>118</v>
      </c>
      <c r="O110" s="4"/>
      <c r="P110" s="4"/>
      <c r="Q110" s="4"/>
      <c r="R110" s="6"/>
      <c r="S110" s="6"/>
      <c r="T110" s="31" t="str">
        <f ca="1">IF(ProductionInventoryTable[[#This Row],[Campaign Name]]="","",NOW())</f>
        <v/>
      </c>
    </row>
    <row r="111" spans="1:20" ht="17.25">
      <c r="A111" s="23"/>
      <c r="B111" s="5"/>
      <c r="C111" s="4"/>
      <c r="D111" s="4"/>
      <c r="E11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1" s="4"/>
      <c r="G111" s="22" t="s">
        <v>118</v>
      </c>
      <c r="H111" s="22" t="s">
        <v>118</v>
      </c>
      <c r="I111" s="22" t="s">
        <v>118</v>
      </c>
      <c r="J111" s="22" t="s">
        <v>118</v>
      </c>
      <c r="K111" s="22" t="s">
        <v>118</v>
      </c>
      <c r="L111" s="22" t="s">
        <v>118</v>
      </c>
      <c r="M111" s="22" t="s">
        <v>118</v>
      </c>
      <c r="N111" s="22" t="s">
        <v>118</v>
      </c>
      <c r="O111" s="4"/>
      <c r="P111" s="4"/>
      <c r="Q111" s="4"/>
      <c r="R111" s="6"/>
      <c r="S111" s="6"/>
      <c r="T111" s="31" t="str">
        <f ca="1">IF(ProductionInventoryTable[[#This Row],[Campaign Name]]="","",NOW())</f>
        <v/>
      </c>
    </row>
    <row r="112" spans="1:20" ht="17.25">
      <c r="A112" s="23"/>
      <c r="B112" s="5"/>
      <c r="C112" s="4"/>
      <c r="D112" s="4"/>
      <c r="E11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2" s="4"/>
      <c r="G112" s="22" t="s">
        <v>118</v>
      </c>
      <c r="H112" s="22" t="s">
        <v>118</v>
      </c>
      <c r="I112" s="22" t="s">
        <v>118</v>
      </c>
      <c r="J112" s="22" t="s">
        <v>118</v>
      </c>
      <c r="K112" s="22" t="s">
        <v>118</v>
      </c>
      <c r="L112" s="22" t="s">
        <v>118</v>
      </c>
      <c r="M112" s="22" t="s">
        <v>118</v>
      </c>
      <c r="N112" s="22" t="s">
        <v>118</v>
      </c>
      <c r="O112" s="4"/>
      <c r="P112" s="4"/>
      <c r="Q112" s="4"/>
      <c r="R112" s="6"/>
      <c r="S112" s="6"/>
      <c r="T112" s="31" t="str">
        <f ca="1">IF(ProductionInventoryTable[[#This Row],[Campaign Name]]="","",NOW())</f>
        <v/>
      </c>
    </row>
    <row r="113" spans="1:20" ht="17.25">
      <c r="A113" s="23"/>
      <c r="B113" s="5"/>
      <c r="C113" s="4"/>
      <c r="D113" s="4"/>
      <c r="E11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3" s="4"/>
      <c r="G113" s="22" t="s">
        <v>118</v>
      </c>
      <c r="H113" s="22" t="s">
        <v>118</v>
      </c>
      <c r="I113" s="22" t="s">
        <v>118</v>
      </c>
      <c r="J113" s="22" t="s">
        <v>118</v>
      </c>
      <c r="K113" s="22" t="s">
        <v>118</v>
      </c>
      <c r="L113" s="22" t="s">
        <v>118</v>
      </c>
      <c r="M113" s="22" t="s">
        <v>118</v>
      </c>
      <c r="N113" s="22" t="s">
        <v>118</v>
      </c>
      <c r="O113" s="4"/>
      <c r="P113" s="4"/>
      <c r="Q113" s="4"/>
      <c r="R113" s="6"/>
      <c r="S113" s="6"/>
      <c r="T113" s="31" t="str">
        <f ca="1">IF(ProductionInventoryTable[[#This Row],[Campaign Name]]="","",NOW())</f>
        <v/>
      </c>
    </row>
    <row r="114" spans="1:20" ht="17.25">
      <c r="A114" s="23"/>
      <c r="B114" s="5"/>
      <c r="C114" s="4"/>
      <c r="D114" s="4"/>
      <c r="E11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4" s="4"/>
      <c r="G114" s="22" t="s">
        <v>118</v>
      </c>
      <c r="H114" s="22" t="s">
        <v>118</v>
      </c>
      <c r="I114" s="22" t="s">
        <v>118</v>
      </c>
      <c r="J114" s="22" t="s">
        <v>118</v>
      </c>
      <c r="K114" s="22" t="s">
        <v>118</v>
      </c>
      <c r="L114" s="22" t="s">
        <v>118</v>
      </c>
      <c r="M114" s="22" t="s">
        <v>118</v>
      </c>
      <c r="N114" s="22" t="s">
        <v>118</v>
      </c>
      <c r="O114" s="4"/>
      <c r="P114" s="4"/>
      <c r="Q114" s="4"/>
      <c r="R114" s="6"/>
      <c r="S114" s="6"/>
      <c r="T114" s="31" t="str">
        <f ca="1">IF(ProductionInventoryTable[[#This Row],[Campaign Name]]="","",NOW())</f>
        <v/>
      </c>
    </row>
    <row r="115" spans="1:20" ht="17.25">
      <c r="A115" s="23"/>
      <c r="B115" s="5"/>
      <c r="C115" s="4"/>
      <c r="D115" s="4"/>
      <c r="E11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5" s="4"/>
      <c r="G115" s="22" t="s">
        <v>118</v>
      </c>
      <c r="H115" s="22" t="s">
        <v>118</v>
      </c>
      <c r="I115" s="22" t="s">
        <v>118</v>
      </c>
      <c r="J115" s="22" t="s">
        <v>118</v>
      </c>
      <c r="K115" s="22" t="s">
        <v>118</v>
      </c>
      <c r="L115" s="22" t="s">
        <v>118</v>
      </c>
      <c r="M115" s="22" t="s">
        <v>118</v>
      </c>
      <c r="N115" s="22" t="s">
        <v>118</v>
      </c>
      <c r="O115" s="4"/>
      <c r="P115" s="4"/>
      <c r="Q115" s="4"/>
      <c r="R115" s="6"/>
      <c r="S115" s="6"/>
      <c r="T115" s="31" t="str">
        <f ca="1">IF(ProductionInventoryTable[[#This Row],[Campaign Name]]="","",NOW())</f>
        <v/>
      </c>
    </row>
    <row r="116" spans="1:20" ht="17.25">
      <c r="A116" s="23"/>
      <c r="B116" s="5"/>
      <c r="C116" s="4"/>
      <c r="D116" s="4"/>
      <c r="E11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6" s="4"/>
      <c r="G116" s="22" t="s">
        <v>118</v>
      </c>
      <c r="H116" s="22" t="s">
        <v>118</v>
      </c>
      <c r="I116" s="22" t="s">
        <v>118</v>
      </c>
      <c r="J116" s="22" t="s">
        <v>118</v>
      </c>
      <c r="K116" s="22" t="s">
        <v>118</v>
      </c>
      <c r="L116" s="22" t="s">
        <v>118</v>
      </c>
      <c r="M116" s="22" t="s">
        <v>118</v>
      </c>
      <c r="N116" s="22" t="s">
        <v>118</v>
      </c>
      <c r="O116" s="4"/>
      <c r="P116" s="4"/>
      <c r="Q116" s="4"/>
      <c r="R116" s="6"/>
      <c r="S116" s="6"/>
      <c r="T116" s="31" t="str">
        <f ca="1">IF(ProductionInventoryTable[[#This Row],[Campaign Name]]="","",NOW())</f>
        <v/>
      </c>
    </row>
    <row r="117" spans="1:20" ht="17.25">
      <c r="A117" s="23"/>
      <c r="B117" s="5"/>
      <c r="C117" s="4"/>
      <c r="D117" s="4"/>
      <c r="E11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7" s="4"/>
      <c r="G117" s="22" t="s">
        <v>118</v>
      </c>
      <c r="H117" s="22" t="s">
        <v>118</v>
      </c>
      <c r="I117" s="22" t="s">
        <v>118</v>
      </c>
      <c r="J117" s="22" t="s">
        <v>118</v>
      </c>
      <c r="K117" s="22" t="s">
        <v>118</v>
      </c>
      <c r="L117" s="22" t="s">
        <v>118</v>
      </c>
      <c r="M117" s="22" t="s">
        <v>118</v>
      </c>
      <c r="N117" s="22" t="s">
        <v>118</v>
      </c>
      <c r="O117" s="4"/>
      <c r="P117" s="4"/>
      <c r="Q117" s="4"/>
      <c r="R117" s="6"/>
      <c r="S117" s="6"/>
      <c r="T117" s="31" t="str">
        <f ca="1">IF(ProductionInventoryTable[[#This Row],[Campaign Name]]="","",NOW())</f>
        <v/>
      </c>
    </row>
    <row r="118" spans="1:20" ht="17.25">
      <c r="A118" s="23"/>
      <c r="B118" s="5"/>
      <c r="C118" s="4"/>
      <c r="D118" s="4"/>
      <c r="E11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8" s="4"/>
      <c r="G118" s="22" t="s">
        <v>118</v>
      </c>
      <c r="H118" s="22" t="s">
        <v>118</v>
      </c>
      <c r="I118" s="22" t="s">
        <v>118</v>
      </c>
      <c r="J118" s="22" t="s">
        <v>118</v>
      </c>
      <c r="K118" s="22" t="s">
        <v>118</v>
      </c>
      <c r="L118" s="22" t="s">
        <v>118</v>
      </c>
      <c r="M118" s="22" t="s">
        <v>118</v>
      </c>
      <c r="N118" s="22" t="s">
        <v>118</v>
      </c>
      <c r="O118" s="4"/>
      <c r="P118" s="4"/>
      <c r="Q118" s="4"/>
      <c r="R118" s="6"/>
      <c r="S118" s="6"/>
      <c r="T118" s="31" t="str">
        <f ca="1">IF(ProductionInventoryTable[[#This Row],[Campaign Name]]="","",NOW())</f>
        <v/>
      </c>
    </row>
    <row r="119" spans="1:20" ht="17.25">
      <c r="A119" s="23"/>
      <c r="B119" s="5"/>
      <c r="C119" s="4"/>
      <c r="D119" s="4"/>
      <c r="E11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19" s="4"/>
      <c r="G119" s="22" t="s">
        <v>118</v>
      </c>
      <c r="H119" s="22" t="s">
        <v>118</v>
      </c>
      <c r="I119" s="22" t="s">
        <v>118</v>
      </c>
      <c r="J119" s="22" t="s">
        <v>118</v>
      </c>
      <c r="K119" s="22" t="s">
        <v>118</v>
      </c>
      <c r="L119" s="22" t="s">
        <v>118</v>
      </c>
      <c r="M119" s="22" t="s">
        <v>118</v>
      </c>
      <c r="N119" s="22" t="s">
        <v>118</v>
      </c>
      <c r="O119" s="4"/>
      <c r="P119" s="4"/>
      <c r="Q119" s="4"/>
      <c r="R119" s="6"/>
      <c r="S119" s="6"/>
      <c r="T119" s="31" t="str">
        <f ca="1">IF(ProductionInventoryTable[[#This Row],[Campaign Name]]="","",NOW())</f>
        <v/>
      </c>
    </row>
    <row r="120" spans="1:20" ht="17.25">
      <c r="A120" s="23"/>
      <c r="B120" s="5"/>
      <c r="C120" s="4"/>
      <c r="D120" s="4"/>
      <c r="E12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0" s="4"/>
      <c r="G120" s="22" t="s">
        <v>118</v>
      </c>
      <c r="H120" s="22" t="s">
        <v>118</v>
      </c>
      <c r="I120" s="22" t="s">
        <v>118</v>
      </c>
      <c r="J120" s="22" t="s">
        <v>118</v>
      </c>
      <c r="K120" s="22" t="s">
        <v>118</v>
      </c>
      <c r="L120" s="22" t="s">
        <v>118</v>
      </c>
      <c r="M120" s="22" t="s">
        <v>118</v>
      </c>
      <c r="N120" s="22" t="s">
        <v>118</v>
      </c>
      <c r="O120" s="4"/>
      <c r="P120" s="4"/>
      <c r="Q120" s="4"/>
      <c r="R120" s="6"/>
      <c r="S120" s="6"/>
      <c r="T120" s="31" t="str">
        <f ca="1">IF(ProductionInventoryTable[[#This Row],[Campaign Name]]="","",NOW())</f>
        <v/>
      </c>
    </row>
    <row r="121" spans="1:20" ht="17.25">
      <c r="A121" s="23"/>
      <c r="B121" s="5"/>
      <c r="C121" s="4"/>
      <c r="D121" s="4"/>
      <c r="E12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1" s="4"/>
      <c r="G121" s="22" t="s">
        <v>118</v>
      </c>
      <c r="H121" s="22" t="s">
        <v>118</v>
      </c>
      <c r="I121" s="22" t="s">
        <v>118</v>
      </c>
      <c r="J121" s="22" t="s">
        <v>118</v>
      </c>
      <c r="K121" s="22" t="s">
        <v>118</v>
      </c>
      <c r="L121" s="22" t="s">
        <v>118</v>
      </c>
      <c r="M121" s="22" t="s">
        <v>118</v>
      </c>
      <c r="N121" s="22" t="s">
        <v>118</v>
      </c>
      <c r="O121" s="4"/>
      <c r="P121" s="4"/>
      <c r="Q121" s="4"/>
      <c r="R121" s="6"/>
      <c r="S121" s="6"/>
      <c r="T121" s="31" t="str">
        <f ca="1">IF(ProductionInventoryTable[[#This Row],[Campaign Name]]="","",NOW())</f>
        <v/>
      </c>
    </row>
    <row r="122" spans="1:20" ht="17.25">
      <c r="A122" s="23"/>
      <c r="B122" s="5"/>
      <c r="C122" s="4"/>
      <c r="D122" s="4"/>
      <c r="E12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2" s="4"/>
      <c r="G122" s="22" t="s">
        <v>118</v>
      </c>
      <c r="H122" s="22" t="s">
        <v>118</v>
      </c>
      <c r="I122" s="22" t="s">
        <v>118</v>
      </c>
      <c r="J122" s="22" t="s">
        <v>118</v>
      </c>
      <c r="K122" s="22" t="s">
        <v>118</v>
      </c>
      <c r="L122" s="22" t="s">
        <v>118</v>
      </c>
      <c r="M122" s="22" t="s">
        <v>118</v>
      </c>
      <c r="N122" s="22" t="s">
        <v>118</v>
      </c>
      <c r="O122" s="4"/>
      <c r="P122" s="4"/>
      <c r="Q122" s="4"/>
      <c r="R122" s="6"/>
      <c r="S122" s="6"/>
      <c r="T122" s="31" t="str">
        <f ca="1">IF(ProductionInventoryTable[[#This Row],[Campaign Name]]="","",NOW())</f>
        <v/>
      </c>
    </row>
    <row r="123" spans="1:20" ht="17.25">
      <c r="A123" s="23"/>
      <c r="B123" s="5"/>
      <c r="C123" s="4"/>
      <c r="D123" s="4"/>
      <c r="E12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3" s="4"/>
      <c r="G123" s="22" t="s">
        <v>118</v>
      </c>
      <c r="H123" s="22" t="s">
        <v>118</v>
      </c>
      <c r="I123" s="22" t="s">
        <v>118</v>
      </c>
      <c r="J123" s="22" t="s">
        <v>118</v>
      </c>
      <c r="K123" s="22" t="s">
        <v>118</v>
      </c>
      <c r="L123" s="22" t="s">
        <v>118</v>
      </c>
      <c r="M123" s="22" t="s">
        <v>118</v>
      </c>
      <c r="N123" s="22" t="s">
        <v>118</v>
      </c>
      <c r="O123" s="4"/>
      <c r="P123" s="4"/>
      <c r="Q123" s="4"/>
      <c r="R123" s="6"/>
      <c r="S123" s="6"/>
      <c r="T123" s="31" t="str">
        <f ca="1">IF(ProductionInventoryTable[[#This Row],[Campaign Name]]="","",NOW())</f>
        <v/>
      </c>
    </row>
    <row r="124" spans="1:20" ht="17.25">
      <c r="A124" s="23"/>
      <c r="B124" s="5"/>
      <c r="C124" s="4"/>
      <c r="D124" s="4"/>
      <c r="E12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4" s="4"/>
      <c r="G124" s="22" t="s">
        <v>118</v>
      </c>
      <c r="H124" s="22" t="s">
        <v>118</v>
      </c>
      <c r="I124" s="22" t="s">
        <v>118</v>
      </c>
      <c r="J124" s="22" t="s">
        <v>118</v>
      </c>
      <c r="K124" s="22" t="s">
        <v>118</v>
      </c>
      <c r="L124" s="22" t="s">
        <v>118</v>
      </c>
      <c r="M124" s="22" t="s">
        <v>118</v>
      </c>
      <c r="N124" s="22" t="s">
        <v>118</v>
      </c>
      <c r="O124" s="4"/>
      <c r="P124" s="4"/>
      <c r="Q124" s="4"/>
      <c r="R124" s="6"/>
      <c r="S124" s="6"/>
      <c r="T124" s="31" t="str">
        <f ca="1">IF(ProductionInventoryTable[[#This Row],[Campaign Name]]="","",NOW())</f>
        <v/>
      </c>
    </row>
    <row r="125" spans="1:20" ht="17.25">
      <c r="A125" s="23"/>
      <c r="B125" s="5"/>
      <c r="C125" s="4"/>
      <c r="D125" s="4"/>
      <c r="E12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5" s="4"/>
      <c r="G125" s="22" t="s">
        <v>118</v>
      </c>
      <c r="H125" s="22" t="s">
        <v>118</v>
      </c>
      <c r="I125" s="22" t="s">
        <v>118</v>
      </c>
      <c r="J125" s="22" t="s">
        <v>118</v>
      </c>
      <c r="K125" s="22" t="s">
        <v>118</v>
      </c>
      <c r="L125" s="22" t="s">
        <v>118</v>
      </c>
      <c r="M125" s="22" t="s">
        <v>118</v>
      </c>
      <c r="N125" s="22" t="s">
        <v>118</v>
      </c>
      <c r="O125" s="4"/>
      <c r="P125" s="4"/>
      <c r="Q125" s="4"/>
      <c r="R125" s="6"/>
      <c r="S125" s="6"/>
      <c r="T125" s="31" t="str">
        <f ca="1">IF(ProductionInventoryTable[[#This Row],[Campaign Name]]="","",NOW())</f>
        <v/>
      </c>
    </row>
    <row r="126" spans="1:20" ht="17.25">
      <c r="A126" s="23"/>
      <c r="B126" s="5"/>
      <c r="C126" s="4"/>
      <c r="D126" s="4"/>
      <c r="E12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6" s="4"/>
      <c r="G126" s="22" t="s">
        <v>118</v>
      </c>
      <c r="H126" s="22" t="s">
        <v>118</v>
      </c>
      <c r="I126" s="22" t="s">
        <v>118</v>
      </c>
      <c r="J126" s="22" t="s">
        <v>118</v>
      </c>
      <c r="K126" s="22" t="s">
        <v>118</v>
      </c>
      <c r="L126" s="22" t="s">
        <v>118</v>
      </c>
      <c r="M126" s="22" t="s">
        <v>118</v>
      </c>
      <c r="N126" s="22" t="s">
        <v>118</v>
      </c>
      <c r="O126" s="4"/>
      <c r="P126" s="4"/>
      <c r="Q126" s="4"/>
      <c r="R126" s="6"/>
      <c r="S126" s="6"/>
      <c r="T126" s="31" t="str">
        <f ca="1">IF(ProductionInventoryTable[[#This Row],[Campaign Name]]="","",NOW())</f>
        <v/>
      </c>
    </row>
    <row r="127" spans="1:20" ht="17.25">
      <c r="A127" s="23"/>
      <c r="B127" s="5"/>
      <c r="C127" s="4"/>
      <c r="D127" s="4"/>
      <c r="E12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7" s="4"/>
      <c r="G127" s="22" t="s">
        <v>118</v>
      </c>
      <c r="H127" s="22" t="s">
        <v>118</v>
      </c>
      <c r="I127" s="22" t="s">
        <v>118</v>
      </c>
      <c r="J127" s="22" t="s">
        <v>118</v>
      </c>
      <c r="K127" s="22" t="s">
        <v>118</v>
      </c>
      <c r="L127" s="22" t="s">
        <v>118</v>
      </c>
      <c r="M127" s="22" t="s">
        <v>118</v>
      </c>
      <c r="N127" s="22" t="s">
        <v>118</v>
      </c>
      <c r="O127" s="4"/>
      <c r="P127" s="4"/>
      <c r="Q127" s="4"/>
      <c r="R127" s="6"/>
      <c r="S127" s="6"/>
      <c r="T127" s="31" t="str">
        <f ca="1">IF(ProductionInventoryTable[[#This Row],[Campaign Name]]="","",NOW())</f>
        <v/>
      </c>
    </row>
    <row r="128" spans="1:20" ht="17.25">
      <c r="A128" s="23"/>
      <c r="B128" s="5"/>
      <c r="C128" s="4"/>
      <c r="D128" s="4"/>
      <c r="E12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8" s="4"/>
      <c r="G128" s="22" t="s">
        <v>118</v>
      </c>
      <c r="H128" s="22" t="s">
        <v>118</v>
      </c>
      <c r="I128" s="22" t="s">
        <v>118</v>
      </c>
      <c r="J128" s="22" t="s">
        <v>118</v>
      </c>
      <c r="K128" s="22" t="s">
        <v>118</v>
      </c>
      <c r="L128" s="22" t="s">
        <v>118</v>
      </c>
      <c r="M128" s="22" t="s">
        <v>118</v>
      </c>
      <c r="N128" s="22" t="s">
        <v>118</v>
      </c>
      <c r="O128" s="4"/>
      <c r="P128" s="4"/>
      <c r="Q128" s="4"/>
      <c r="R128" s="6"/>
      <c r="S128" s="6"/>
      <c r="T128" s="31" t="str">
        <f ca="1">IF(ProductionInventoryTable[[#This Row],[Campaign Name]]="","",NOW())</f>
        <v/>
      </c>
    </row>
    <row r="129" spans="1:20" ht="17.25">
      <c r="A129" s="23"/>
      <c r="B129" s="5"/>
      <c r="C129" s="4"/>
      <c r="D129" s="4"/>
      <c r="E12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29" s="4"/>
      <c r="G129" s="22" t="s">
        <v>118</v>
      </c>
      <c r="H129" s="22" t="s">
        <v>118</v>
      </c>
      <c r="I129" s="22" t="s">
        <v>118</v>
      </c>
      <c r="J129" s="22" t="s">
        <v>118</v>
      </c>
      <c r="K129" s="22" t="s">
        <v>118</v>
      </c>
      <c r="L129" s="22" t="s">
        <v>118</v>
      </c>
      <c r="M129" s="22" t="s">
        <v>118</v>
      </c>
      <c r="N129" s="22" t="s">
        <v>118</v>
      </c>
      <c r="O129" s="4"/>
      <c r="P129" s="4"/>
      <c r="Q129" s="4"/>
      <c r="R129" s="6"/>
      <c r="S129" s="6"/>
      <c r="T129" s="31" t="str">
        <f ca="1">IF(ProductionInventoryTable[[#This Row],[Campaign Name]]="","",NOW())</f>
        <v/>
      </c>
    </row>
    <row r="130" spans="1:20" ht="17.25">
      <c r="A130" s="23"/>
      <c r="B130" s="5"/>
      <c r="C130" s="4"/>
      <c r="D130" s="4"/>
      <c r="E13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0" s="4"/>
      <c r="G130" s="22" t="s">
        <v>118</v>
      </c>
      <c r="H130" s="22" t="s">
        <v>118</v>
      </c>
      <c r="I130" s="22" t="s">
        <v>118</v>
      </c>
      <c r="J130" s="22" t="s">
        <v>118</v>
      </c>
      <c r="K130" s="22" t="s">
        <v>118</v>
      </c>
      <c r="L130" s="22" t="s">
        <v>118</v>
      </c>
      <c r="M130" s="22" t="s">
        <v>118</v>
      </c>
      <c r="N130" s="22" t="s">
        <v>118</v>
      </c>
      <c r="O130" s="4"/>
      <c r="P130" s="4"/>
      <c r="Q130" s="4"/>
      <c r="R130" s="6"/>
      <c r="S130" s="6"/>
      <c r="T130" s="31" t="str">
        <f ca="1">IF(ProductionInventoryTable[[#This Row],[Campaign Name]]="","",NOW())</f>
        <v/>
      </c>
    </row>
    <row r="131" spans="1:20" ht="17.25">
      <c r="A131" s="23"/>
      <c r="B131" s="5"/>
      <c r="C131" s="4"/>
      <c r="D131" s="4"/>
      <c r="E13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1" s="4"/>
      <c r="G131" s="22" t="s">
        <v>118</v>
      </c>
      <c r="H131" s="22" t="s">
        <v>118</v>
      </c>
      <c r="I131" s="22" t="s">
        <v>118</v>
      </c>
      <c r="J131" s="22" t="s">
        <v>118</v>
      </c>
      <c r="K131" s="22" t="s">
        <v>118</v>
      </c>
      <c r="L131" s="22" t="s">
        <v>118</v>
      </c>
      <c r="M131" s="22" t="s">
        <v>118</v>
      </c>
      <c r="N131" s="22" t="s">
        <v>118</v>
      </c>
      <c r="O131" s="4"/>
      <c r="P131" s="4"/>
      <c r="Q131" s="4"/>
      <c r="R131" s="6"/>
      <c r="S131" s="6"/>
      <c r="T131" s="31" t="str">
        <f ca="1">IF(ProductionInventoryTable[[#This Row],[Campaign Name]]="","",NOW())</f>
        <v/>
      </c>
    </row>
    <row r="132" spans="1:20" ht="17.25">
      <c r="A132" s="23"/>
      <c r="B132" s="5"/>
      <c r="C132" s="4"/>
      <c r="D132" s="4"/>
      <c r="E13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2" s="4"/>
      <c r="G132" s="22" t="s">
        <v>118</v>
      </c>
      <c r="H132" s="22" t="s">
        <v>118</v>
      </c>
      <c r="I132" s="22" t="s">
        <v>118</v>
      </c>
      <c r="J132" s="22" t="s">
        <v>118</v>
      </c>
      <c r="K132" s="22" t="s">
        <v>118</v>
      </c>
      <c r="L132" s="22" t="s">
        <v>118</v>
      </c>
      <c r="M132" s="22" t="s">
        <v>118</v>
      </c>
      <c r="N132" s="22" t="s">
        <v>118</v>
      </c>
      <c r="O132" s="4"/>
      <c r="P132" s="4"/>
      <c r="Q132" s="4"/>
      <c r="R132" s="6"/>
      <c r="S132" s="6"/>
      <c r="T132" s="31" t="str">
        <f ca="1">IF(ProductionInventoryTable[[#This Row],[Campaign Name]]="","",NOW())</f>
        <v/>
      </c>
    </row>
    <row r="133" spans="1:20" ht="17.25">
      <c r="A133" s="23"/>
      <c r="B133" s="5"/>
      <c r="C133" s="4"/>
      <c r="D133" s="4"/>
      <c r="E13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3" s="4"/>
      <c r="G133" s="22" t="s">
        <v>118</v>
      </c>
      <c r="H133" s="22" t="s">
        <v>118</v>
      </c>
      <c r="I133" s="22" t="s">
        <v>118</v>
      </c>
      <c r="J133" s="22" t="s">
        <v>118</v>
      </c>
      <c r="K133" s="22" t="s">
        <v>118</v>
      </c>
      <c r="L133" s="22" t="s">
        <v>118</v>
      </c>
      <c r="M133" s="22" t="s">
        <v>118</v>
      </c>
      <c r="N133" s="22" t="s">
        <v>118</v>
      </c>
      <c r="O133" s="4"/>
      <c r="P133" s="4"/>
      <c r="Q133" s="4"/>
      <c r="R133" s="6"/>
      <c r="S133" s="6"/>
      <c r="T133" s="31" t="str">
        <f ca="1">IF(ProductionInventoryTable[[#This Row],[Campaign Name]]="","",NOW())</f>
        <v/>
      </c>
    </row>
    <row r="134" spans="1:20" ht="17.25">
      <c r="A134" s="23"/>
      <c r="B134" s="5"/>
      <c r="C134" s="4"/>
      <c r="D134" s="4"/>
      <c r="E13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4" s="4"/>
      <c r="G134" s="22" t="s">
        <v>118</v>
      </c>
      <c r="H134" s="22" t="s">
        <v>118</v>
      </c>
      <c r="I134" s="22" t="s">
        <v>118</v>
      </c>
      <c r="J134" s="22" t="s">
        <v>118</v>
      </c>
      <c r="K134" s="22" t="s">
        <v>118</v>
      </c>
      <c r="L134" s="22" t="s">
        <v>118</v>
      </c>
      <c r="M134" s="22" t="s">
        <v>118</v>
      </c>
      <c r="N134" s="22" t="s">
        <v>118</v>
      </c>
      <c r="O134" s="4"/>
      <c r="P134" s="4"/>
      <c r="Q134" s="4"/>
      <c r="R134" s="6"/>
      <c r="S134" s="6"/>
      <c r="T134" s="31" t="str">
        <f ca="1">IF(ProductionInventoryTable[[#This Row],[Campaign Name]]="","",NOW())</f>
        <v/>
      </c>
    </row>
    <row r="135" spans="1:20" ht="17.25">
      <c r="A135" s="23"/>
      <c r="B135" s="5"/>
      <c r="C135" s="4"/>
      <c r="D135" s="4"/>
      <c r="E13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5" s="4"/>
      <c r="G135" s="22" t="s">
        <v>118</v>
      </c>
      <c r="H135" s="22" t="s">
        <v>118</v>
      </c>
      <c r="I135" s="22" t="s">
        <v>118</v>
      </c>
      <c r="J135" s="22" t="s">
        <v>118</v>
      </c>
      <c r="K135" s="22" t="s">
        <v>118</v>
      </c>
      <c r="L135" s="22" t="s">
        <v>118</v>
      </c>
      <c r="M135" s="22" t="s">
        <v>118</v>
      </c>
      <c r="N135" s="22" t="s">
        <v>118</v>
      </c>
      <c r="O135" s="4"/>
      <c r="P135" s="4"/>
      <c r="Q135" s="4"/>
      <c r="R135" s="6"/>
      <c r="S135" s="6"/>
      <c r="T135" s="31" t="str">
        <f ca="1">IF(ProductionInventoryTable[[#This Row],[Campaign Name]]="","",NOW())</f>
        <v/>
      </c>
    </row>
    <row r="136" spans="1:20" ht="17.25">
      <c r="A136" s="23"/>
      <c r="B136" s="5"/>
      <c r="C136" s="4"/>
      <c r="D136" s="4"/>
      <c r="E13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6" s="4"/>
      <c r="G136" s="22" t="s">
        <v>118</v>
      </c>
      <c r="H136" s="22" t="s">
        <v>118</v>
      </c>
      <c r="I136" s="22" t="s">
        <v>118</v>
      </c>
      <c r="J136" s="22" t="s">
        <v>118</v>
      </c>
      <c r="K136" s="22" t="s">
        <v>118</v>
      </c>
      <c r="L136" s="22" t="s">
        <v>118</v>
      </c>
      <c r="M136" s="22" t="s">
        <v>118</v>
      </c>
      <c r="N136" s="22" t="s">
        <v>118</v>
      </c>
      <c r="O136" s="4"/>
      <c r="P136" s="4"/>
      <c r="Q136" s="4"/>
      <c r="R136" s="6"/>
      <c r="S136" s="6"/>
      <c r="T136" s="31" t="str">
        <f ca="1">IF(ProductionInventoryTable[[#This Row],[Campaign Name]]="","",NOW())</f>
        <v/>
      </c>
    </row>
    <row r="137" spans="1:20" ht="17.25">
      <c r="A137" s="23"/>
      <c r="B137" s="5"/>
      <c r="C137" s="4"/>
      <c r="D137" s="4"/>
      <c r="E13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7" s="4"/>
      <c r="G137" s="22" t="s">
        <v>118</v>
      </c>
      <c r="H137" s="22" t="s">
        <v>118</v>
      </c>
      <c r="I137" s="22" t="s">
        <v>118</v>
      </c>
      <c r="J137" s="22" t="s">
        <v>118</v>
      </c>
      <c r="K137" s="22" t="s">
        <v>118</v>
      </c>
      <c r="L137" s="22" t="s">
        <v>118</v>
      </c>
      <c r="M137" s="22" t="s">
        <v>118</v>
      </c>
      <c r="N137" s="22" t="s">
        <v>118</v>
      </c>
      <c r="O137" s="4"/>
      <c r="P137" s="4"/>
      <c r="Q137" s="4"/>
      <c r="R137" s="6"/>
      <c r="S137" s="6"/>
      <c r="T137" s="31" t="str">
        <f ca="1">IF(ProductionInventoryTable[[#This Row],[Campaign Name]]="","",NOW())</f>
        <v/>
      </c>
    </row>
    <row r="138" spans="1:20" ht="17.25">
      <c r="A138" s="23"/>
      <c r="B138" s="5"/>
      <c r="C138" s="4"/>
      <c r="D138" s="4"/>
      <c r="E13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8" s="4"/>
      <c r="G138" s="22" t="s">
        <v>118</v>
      </c>
      <c r="H138" s="22" t="s">
        <v>118</v>
      </c>
      <c r="I138" s="22" t="s">
        <v>118</v>
      </c>
      <c r="J138" s="22" t="s">
        <v>118</v>
      </c>
      <c r="K138" s="22" t="s">
        <v>118</v>
      </c>
      <c r="L138" s="22" t="s">
        <v>118</v>
      </c>
      <c r="M138" s="22" t="s">
        <v>118</v>
      </c>
      <c r="N138" s="22" t="s">
        <v>118</v>
      </c>
      <c r="O138" s="4"/>
      <c r="P138" s="4"/>
      <c r="Q138" s="4"/>
      <c r="R138" s="6"/>
      <c r="S138" s="6"/>
      <c r="T138" s="31" t="str">
        <f ca="1">IF(ProductionInventoryTable[[#This Row],[Campaign Name]]="","",NOW())</f>
        <v/>
      </c>
    </row>
    <row r="139" spans="1:20" ht="17.25">
      <c r="A139" s="23"/>
      <c r="B139" s="5"/>
      <c r="C139" s="4"/>
      <c r="D139" s="4"/>
      <c r="E13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39" s="4"/>
      <c r="G139" s="22" t="s">
        <v>118</v>
      </c>
      <c r="H139" s="22" t="s">
        <v>118</v>
      </c>
      <c r="I139" s="22" t="s">
        <v>118</v>
      </c>
      <c r="J139" s="22" t="s">
        <v>118</v>
      </c>
      <c r="K139" s="22" t="s">
        <v>118</v>
      </c>
      <c r="L139" s="22" t="s">
        <v>118</v>
      </c>
      <c r="M139" s="22" t="s">
        <v>118</v>
      </c>
      <c r="N139" s="22" t="s">
        <v>118</v>
      </c>
      <c r="O139" s="4"/>
      <c r="P139" s="4"/>
      <c r="Q139" s="4"/>
      <c r="R139" s="6"/>
      <c r="S139" s="6"/>
      <c r="T139" s="31" t="str">
        <f ca="1">IF(ProductionInventoryTable[[#This Row],[Campaign Name]]="","",NOW())</f>
        <v/>
      </c>
    </row>
    <row r="140" spans="1:20" ht="17.25">
      <c r="A140" s="23"/>
      <c r="B140" s="5"/>
      <c r="C140" s="4"/>
      <c r="D140" s="4"/>
      <c r="E14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0" s="4"/>
      <c r="G140" s="22" t="s">
        <v>118</v>
      </c>
      <c r="H140" s="22" t="s">
        <v>118</v>
      </c>
      <c r="I140" s="22" t="s">
        <v>118</v>
      </c>
      <c r="J140" s="22" t="s">
        <v>118</v>
      </c>
      <c r="K140" s="22" t="s">
        <v>118</v>
      </c>
      <c r="L140" s="22" t="s">
        <v>118</v>
      </c>
      <c r="M140" s="22" t="s">
        <v>118</v>
      </c>
      <c r="N140" s="22" t="s">
        <v>118</v>
      </c>
      <c r="O140" s="4"/>
      <c r="P140" s="4"/>
      <c r="Q140" s="4"/>
      <c r="R140" s="6"/>
      <c r="S140" s="6"/>
      <c r="T140" s="31" t="str">
        <f ca="1">IF(ProductionInventoryTable[[#This Row],[Campaign Name]]="","",NOW())</f>
        <v/>
      </c>
    </row>
    <row r="141" spans="1:20" ht="17.25">
      <c r="A141" s="23"/>
      <c r="B141" s="5"/>
      <c r="C141" s="4"/>
      <c r="D141" s="4"/>
      <c r="E14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1" s="4"/>
      <c r="G141" s="22" t="s">
        <v>118</v>
      </c>
      <c r="H141" s="22" t="s">
        <v>118</v>
      </c>
      <c r="I141" s="22" t="s">
        <v>118</v>
      </c>
      <c r="J141" s="22" t="s">
        <v>118</v>
      </c>
      <c r="K141" s="22" t="s">
        <v>118</v>
      </c>
      <c r="L141" s="22" t="s">
        <v>118</v>
      </c>
      <c r="M141" s="22" t="s">
        <v>118</v>
      </c>
      <c r="N141" s="22" t="s">
        <v>118</v>
      </c>
      <c r="O141" s="4"/>
      <c r="P141" s="4"/>
      <c r="Q141" s="4"/>
      <c r="R141" s="6"/>
      <c r="S141" s="6"/>
      <c r="T141" s="31" t="str">
        <f ca="1">IF(ProductionInventoryTable[[#This Row],[Campaign Name]]="","",NOW())</f>
        <v/>
      </c>
    </row>
    <row r="142" spans="1:20" ht="17.25">
      <c r="A142" s="23"/>
      <c r="B142" s="5"/>
      <c r="C142" s="4"/>
      <c r="D142" s="4"/>
      <c r="E14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2" s="4"/>
      <c r="G142" s="22" t="s">
        <v>118</v>
      </c>
      <c r="H142" s="22" t="s">
        <v>118</v>
      </c>
      <c r="I142" s="22" t="s">
        <v>118</v>
      </c>
      <c r="J142" s="22" t="s">
        <v>118</v>
      </c>
      <c r="K142" s="22" t="s">
        <v>118</v>
      </c>
      <c r="L142" s="22" t="s">
        <v>118</v>
      </c>
      <c r="M142" s="22" t="s">
        <v>118</v>
      </c>
      <c r="N142" s="22" t="s">
        <v>118</v>
      </c>
      <c r="O142" s="4"/>
      <c r="P142" s="4"/>
      <c r="Q142" s="4"/>
      <c r="R142" s="6"/>
      <c r="S142" s="6"/>
      <c r="T142" s="31" t="str">
        <f ca="1">IF(ProductionInventoryTable[[#This Row],[Campaign Name]]="","",NOW())</f>
        <v/>
      </c>
    </row>
    <row r="143" spans="1:20" ht="17.25">
      <c r="A143" s="23"/>
      <c r="B143" s="5"/>
      <c r="C143" s="4"/>
      <c r="D143" s="4"/>
      <c r="E14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3" s="4"/>
      <c r="G143" s="22" t="s">
        <v>118</v>
      </c>
      <c r="H143" s="22" t="s">
        <v>118</v>
      </c>
      <c r="I143" s="22" t="s">
        <v>118</v>
      </c>
      <c r="J143" s="22" t="s">
        <v>118</v>
      </c>
      <c r="K143" s="22" t="s">
        <v>118</v>
      </c>
      <c r="L143" s="22" t="s">
        <v>118</v>
      </c>
      <c r="M143" s="22" t="s">
        <v>118</v>
      </c>
      <c r="N143" s="22" t="s">
        <v>118</v>
      </c>
      <c r="O143" s="4"/>
      <c r="P143" s="4"/>
      <c r="Q143" s="4"/>
      <c r="R143" s="6"/>
      <c r="S143" s="6"/>
      <c r="T143" s="31" t="str">
        <f ca="1">IF(ProductionInventoryTable[[#This Row],[Campaign Name]]="","",NOW())</f>
        <v/>
      </c>
    </row>
    <row r="144" spans="1:20" ht="17.25">
      <c r="A144" s="23"/>
      <c r="B144" s="5"/>
      <c r="C144" s="4"/>
      <c r="D144" s="4"/>
      <c r="E14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4" s="4"/>
      <c r="G144" s="22" t="s">
        <v>118</v>
      </c>
      <c r="H144" s="22" t="s">
        <v>118</v>
      </c>
      <c r="I144" s="22" t="s">
        <v>118</v>
      </c>
      <c r="J144" s="22" t="s">
        <v>118</v>
      </c>
      <c r="K144" s="22" t="s">
        <v>118</v>
      </c>
      <c r="L144" s="22" t="s">
        <v>118</v>
      </c>
      <c r="M144" s="22" t="s">
        <v>118</v>
      </c>
      <c r="N144" s="22" t="s">
        <v>118</v>
      </c>
      <c r="O144" s="4"/>
      <c r="P144" s="4"/>
      <c r="Q144" s="4"/>
      <c r="R144" s="6"/>
      <c r="S144" s="6"/>
      <c r="T144" s="31" t="str">
        <f ca="1">IF(ProductionInventoryTable[[#This Row],[Campaign Name]]="","",NOW())</f>
        <v/>
      </c>
    </row>
    <row r="145" spans="1:20" ht="17.25">
      <c r="A145" s="23"/>
      <c r="B145" s="5"/>
      <c r="C145" s="4"/>
      <c r="D145" s="4"/>
      <c r="E14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5" s="4"/>
      <c r="G145" s="22" t="s">
        <v>118</v>
      </c>
      <c r="H145" s="22" t="s">
        <v>118</v>
      </c>
      <c r="I145" s="22" t="s">
        <v>118</v>
      </c>
      <c r="J145" s="22" t="s">
        <v>118</v>
      </c>
      <c r="K145" s="22" t="s">
        <v>118</v>
      </c>
      <c r="L145" s="22" t="s">
        <v>118</v>
      </c>
      <c r="M145" s="22" t="s">
        <v>118</v>
      </c>
      <c r="N145" s="22" t="s">
        <v>118</v>
      </c>
      <c r="O145" s="4"/>
      <c r="P145" s="4"/>
      <c r="Q145" s="4"/>
      <c r="R145" s="6"/>
      <c r="S145" s="6"/>
      <c r="T145" s="31" t="str">
        <f ca="1">IF(ProductionInventoryTable[[#This Row],[Campaign Name]]="","",NOW())</f>
        <v/>
      </c>
    </row>
    <row r="146" spans="1:20" ht="17.25">
      <c r="A146" s="23"/>
      <c r="B146" s="5"/>
      <c r="C146" s="4"/>
      <c r="D146" s="4"/>
      <c r="E14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6" s="4"/>
      <c r="G146" s="22" t="s">
        <v>118</v>
      </c>
      <c r="H146" s="22" t="s">
        <v>118</v>
      </c>
      <c r="I146" s="22" t="s">
        <v>118</v>
      </c>
      <c r="J146" s="22" t="s">
        <v>118</v>
      </c>
      <c r="K146" s="22" t="s">
        <v>118</v>
      </c>
      <c r="L146" s="22" t="s">
        <v>118</v>
      </c>
      <c r="M146" s="22" t="s">
        <v>118</v>
      </c>
      <c r="N146" s="22" t="s">
        <v>118</v>
      </c>
      <c r="O146" s="4"/>
      <c r="P146" s="4"/>
      <c r="Q146" s="4"/>
      <c r="R146" s="6"/>
      <c r="S146" s="6"/>
      <c r="T146" s="31" t="str">
        <f ca="1">IF(ProductionInventoryTable[[#This Row],[Campaign Name]]="","",NOW())</f>
        <v/>
      </c>
    </row>
    <row r="147" spans="1:20" ht="17.25">
      <c r="A147" s="23"/>
      <c r="B147" s="5"/>
      <c r="C147" s="4"/>
      <c r="D147" s="4"/>
      <c r="E14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7" s="4"/>
      <c r="G147" s="22" t="s">
        <v>118</v>
      </c>
      <c r="H147" s="22" t="s">
        <v>118</v>
      </c>
      <c r="I147" s="22" t="s">
        <v>118</v>
      </c>
      <c r="J147" s="22" t="s">
        <v>118</v>
      </c>
      <c r="K147" s="22" t="s">
        <v>118</v>
      </c>
      <c r="L147" s="22" t="s">
        <v>118</v>
      </c>
      <c r="M147" s="22" t="s">
        <v>118</v>
      </c>
      <c r="N147" s="22" t="s">
        <v>118</v>
      </c>
      <c r="O147" s="4"/>
      <c r="P147" s="4"/>
      <c r="Q147" s="4"/>
      <c r="R147" s="6"/>
      <c r="S147" s="6"/>
      <c r="T147" s="31" t="str">
        <f ca="1">IF(ProductionInventoryTable[[#This Row],[Campaign Name]]="","",NOW())</f>
        <v/>
      </c>
    </row>
    <row r="148" spans="1:20" ht="17.25">
      <c r="A148" s="23"/>
      <c r="B148" s="5"/>
      <c r="C148" s="4"/>
      <c r="D148" s="4"/>
      <c r="E14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8" s="4"/>
      <c r="G148" s="22" t="s">
        <v>118</v>
      </c>
      <c r="H148" s="22" t="s">
        <v>118</v>
      </c>
      <c r="I148" s="22" t="s">
        <v>118</v>
      </c>
      <c r="J148" s="22" t="s">
        <v>118</v>
      </c>
      <c r="K148" s="22" t="s">
        <v>118</v>
      </c>
      <c r="L148" s="22" t="s">
        <v>118</v>
      </c>
      <c r="M148" s="22" t="s">
        <v>118</v>
      </c>
      <c r="N148" s="22" t="s">
        <v>118</v>
      </c>
      <c r="O148" s="4"/>
      <c r="P148" s="4"/>
      <c r="Q148" s="4"/>
      <c r="R148" s="6"/>
      <c r="S148" s="6"/>
      <c r="T148" s="31" t="str">
        <f ca="1">IF(ProductionInventoryTable[[#This Row],[Campaign Name]]="","",NOW())</f>
        <v/>
      </c>
    </row>
    <row r="149" spans="1:20" ht="17.25">
      <c r="A149" s="23"/>
      <c r="B149" s="5"/>
      <c r="C149" s="4"/>
      <c r="D149" s="4"/>
      <c r="E14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49" s="4"/>
      <c r="G149" s="22" t="s">
        <v>118</v>
      </c>
      <c r="H149" s="22" t="s">
        <v>118</v>
      </c>
      <c r="I149" s="22" t="s">
        <v>118</v>
      </c>
      <c r="J149" s="22" t="s">
        <v>118</v>
      </c>
      <c r="K149" s="22" t="s">
        <v>118</v>
      </c>
      <c r="L149" s="22" t="s">
        <v>118</v>
      </c>
      <c r="M149" s="22" t="s">
        <v>118</v>
      </c>
      <c r="N149" s="22" t="s">
        <v>118</v>
      </c>
      <c r="O149" s="4"/>
      <c r="P149" s="4"/>
      <c r="Q149" s="4"/>
      <c r="R149" s="6"/>
      <c r="S149" s="6"/>
      <c r="T149" s="31" t="str">
        <f ca="1">IF(ProductionInventoryTable[[#This Row],[Campaign Name]]="","",NOW())</f>
        <v/>
      </c>
    </row>
    <row r="150" spans="1:20" ht="17.25">
      <c r="A150" s="23"/>
      <c r="B150" s="5"/>
      <c r="C150" s="4"/>
      <c r="D150" s="4"/>
      <c r="E15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0" s="4"/>
      <c r="G150" s="22" t="s">
        <v>118</v>
      </c>
      <c r="H150" s="22" t="s">
        <v>118</v>
      </c>
      <c r="I150" s="22" t="s">
        <v>118</v>
      </c>
      <c r="J150" s="22" t="s">
        <v>118</v>
      </c>
      <c r="K150" s="22" t="s">
        <v>118</v>
      </c>
      <c r="L150" s="22" t="s">
        <v>118</v>
      </c>
      <c r="M150" s="22" t="s">
        <v>118</v>
      </c>
      <c r="N150" s="22" t="s">
        <v>118</v>
      </c>
      <c r="O150" s="4"/>
      <c r="P150" s="4"/>
      <c r="Q150" s="4"/>
      <c r="R150" s="6"/>
      <c r="S150" s="6"/>
      <c r="T150" s="31" t="str">
        <f ca="1">IF(ProductionInventoryTable[[#This Row],[Campaign Name]]="","",NOW())</f>
        <v/>
      </c>
    </row>
    <row r="151" spans="1:20" ht="17.25">
      <c r="A151" s="23"/>
      <c r="B151" s="5"/>
      <c r="C151" s="4"/>
      <c r="D151" s="4"/>
      <c r="E15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1" s="4"/>
      <c r="G151" s="22" t="s">
        <v>118</v>
      </c>
      <c r="H151" s="22" t="s">
        <v>118</v>
      </c>
      <c r="I151" s="22" t="s">
        <v>118</v>
      </c>
      <c r="J151" s="22" t="s">
        <v>118</v>
      </c>
      <c r="K151" s="22" t="s">
        <v>118</v>
      </c>
      <c r="L151" s="22" t="s">
        <v>118</v>
      </c>
      <c r="M151" s="22" t="s">
        <v>118</v>
      </c>
      <c r="N151" s="22" t="s">
        <v>118</v>
      </c>
      <c r="O151" s="4"/>
      <c r="P151" s="4"/>
      <c r="Q151" s="4"/>
      <c r="R151" s="6"/>
      <c r="S151" s="6"/>
      <c r="T151" s="31" t="str">
        <f ca="1">IF(ProductionInventoryTable[[#This Row],[Campaign Name]]="","",NOW())</f>
        <v/>
      </c>
    </row>
    <row r="152" spans="1:20" ht="17.25">
      <c r="A152" s="23"/>
      <c r="B152" s="5"/>
      <c r="C152" s="4"/>
      <c r="D152" s="4"/>
      <c r="E15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2" s="4"/>
      <c r="G152" s="22" t="s">
        <v>118</v>
      </c>
      <c r="H152" s="22" t="s">
        <v>118</v>
      </c>
      <c r="I152" s="22" t="s">
        <v>118</v>
      </c>
      <c r="J152" s="22" t="s">
        <v>118</v>
      </c>
      <c r="K152" s="22" t="s">
        <v>118</v>
      </c>
      <c r="L152" s="22" t="s">
        <v>118</v>
      </c>
      <c r="M152" s="22" t="s">
        <v>118</v>
      </c>
      <c r="N152" s="22" t="s">
        <v>118</v>
      </c>
      <c r="O152" s="4"/>
      <c r="P152" s="4"/>
      <c r="Q152" s="4"/>
      <c r="R152" s="6"/>
      <c r="S152" s="6"/>
      <c r="T152" s="31" t="str">
        <f ca="1">IF(ProductionInventoryTable[[#This Row],[Campaign Name]]="","",NOW())</f>
        <v/>
      </c>
    </row>
    <row r="153" spans="1:20" ht="17.25">
      <c r="A153" s="23"/>
      <c r="B153" s="5"/>
      <c r="C153" s="4"/>
      <c r="D153" s="4"/>
      <c r="E15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3" s="4"/>
      <c r="G153" s="22" t="s">
        <v>118</v>
      </c>
      <c r="H153" s="22" t="s">
        <v>118</v>
      </c>
      <c r="I153" s="22" t="s">
        <v>118</v>
      </c>
      <c r="J153" s="22" t="s">
        <v>118</v>
      </c>
      <c r="K153" s="22" t="s">
        <v>118</v>
      </c>
      <c r="L153" s="22" t="s">
        <v>118</v>
      </c>
      <c r="M153" s="22" t="s">
        <v>118</v>
      </c>
      <c r="N153" s="22" t="s">
        <v>118</v>
      </c>
      <c r="O153" s="4"/>
      <c r="P153" s="4"/>
      <c r="Q153" s="4"/>
      <c r="R153" s="6"/>
      <c r="S153" s="6"/>
      <c r="T153" s="31" t="str">
        <f ca="1">IF(ProductionInventoryTable[[#This Row],[Campaign Name]]="","",NOW())</f>
        <v/>
      </c>
    </row>
    <row r="154" spans="1:20" ht="17.25">
      <c r="A154" s="23"/>
      <c r="B154" s="5"/>
      <c r="C154" s="4"/>
      <c r="D154" s="4"/>
      <c r="E15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4" s="4"/>
      <c r="G154" s="22" t="s">
        <v>118</v>
      </c>
      <c r="H154" s="22" t="s">
        <v>118</v>
      </c>
      <c r="I154" s="22" t="s">
        <v>118</v>
      </c>
      <c r="J154" s="22" t="s">
        <v>118</v>
      </c>
      <c r="K154" s="22" t="s">
        <v>118</v>
      </c>
      <c r="L154" s="22" t="s">
        <v>118</v>
      </c>
      <c r="M154" s="22" t="s">
        <v>118</v>
      </c>
      <c r="N154" s="22" t="s">
        <v>118</v>
      </c>
      <c r="O154" s="4"/>
      <c r="P154" s="4"/>
      <c r="Q154" s="4"/>
      <c r="R154" s="6"/>
      <c r="S154" s="6"/>
      <c r="T154" s="31" t="str">
        <f ca="1">IF(ProductionInventoryTable[[#This Row],[Campaign Name]]="","",NOW())</f>
        <v/>
      </c>
    </row>
    <row r="155" spans="1:20" ht="17.25">
      <c r="A155" s="23"/>
      <c r="B155" s="5"/>
      <c r="C155" s="4"/>
      <c r="D155" s="4"/>
      <c r="E15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5" s="4"/>
      <c r="G155" s="22" t="s">
        <v>118</v>
      </c>
      <c r="H155" s="22" t="s">
        <v>118</v>
      </c>
      <c r="I155" s="22" t="s">
        <v>118</v>
      </c>
      <c r="J155" s="22" t="s">
        <v>118</v>
      </c>
      <c r="K155" s="22" t="s">
        <v>118</v>
      </c>
      <c r="L155" s="22" t="s">
        <v>118</v>
      </c>
      <c r="M155" s="22" t="s">
        <v>118</v>
      </c>
      <c r="N155" s="22" t="s">
        <v>118</v>
      </c>
      <c r="O155" s="4"/>
      <c r="P155" s="4"/>
      <c r="Q155" s="4"/>
      <c r="R155" s="6"/>
      <c r="S155" s="6"/>
      <c r="T155" s="31" t="str">
        <f ca="1">IF(ProductionInventoryTable[[#This Row],[Campaign Name]]="","",NOW())</f>
        <v/>
      </c>
    </row>
    <row r="156" spans="1:20" ht="17.25">
      <c r="A156" s="23"/>
      <c r="B156" s="5"/>
      <c r="C156" s="4"/>
      <c r="D156" s="4"/>
      <c r="E15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6" s="4"/>
      <c r="G156" s="22" t="s">
        <v>118</v>
      </c>
      <c r="H156" s="22" t="s">
        <v>118</v>
      </c>
      <c r="I156" s="22" t="s">
        <v>118</v>
      </c>
      <c r="J156" s="22" t="s">
        <v>118</v>
      </c>
      <c r="K156" s="22" t="s">
        <v>118</v>
      </c>
      <c r="L156" s="22" t="s">
        <v>118</v>
      </c>
      <c r="M156" s="22" t="s">
        <v>118</v>
      </c>
      <c r="N156" s="22" t="s">
        <v>118</v>
      </c>
      <c r="O156" s="4"/>
      <c r="P156" s="4"/>
      <c r="Q156" s="4"/>
      <c r="R156" s="6"/>
      <c r="S156" s="6"/>
      <c r="T156" s="31" t="str">
        <f ca="1">IF(ProductionInventoryTable[[#This Row],[Campaign Name]]="","",NOW())</f>
        <v/>
      </c>
    </row>
    <row r="157" spans="1:20" ht="17.25">
      <c r="A157" s="23"/>
      <c r="B157" s="5"/>
      <c r="C157" s="4"/>
      <c r="D157" s="4"/>
      <c r="E15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7" s="4"/>
      <c r="G157" s="22" t="s">
        <v>118</v>
      </c>
      <c r="H157" s="22" t="s">
        <v>118</v>
      </c>
      <c r="I157" s="22" t="s">
        <v>118</v>
      </c>
      <c r="J157" s="22" t="s">
        <v>118</v>
      </c>
      <c r="K157" s="22" t="s">
        <v>118</v>
      </c>
      <c r="L157" s="22" t="s">
        <v>118</v>
      </c>
      <c r="M157" s="22" t="s">
        <v>118</v>
      </c>
      <c r="N157" s="22" t="s">
        <v>118</v>
      </c>
      <c r="O157" s="4"/>
      <c r="P157" s="4"/>
      <c r="Q157" s="4"/>
      <c r="R157" s="6"/>
      <c r="S157" s="6"/>
      <c r="T157" s="31" t="str">
        <f ca="1">IF(ProductionInventoryTable[[#This Row],[Campaign Name]]="","",NOW())</f>
        <v/>
      </c>
    </row>
    <row r="158" spans="1:20" ht="17.25">
      <c r="A158" s="23"/>
      <c r="B158" s="5"/>
      <c r="C158" s="4"/>
      <c r="D158" s="4"/>
      <c r="E15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8" s="4"/>
      <c r="G158" s="22" t="s">
        <v>118</v>
      </c>
      <c r="H158" s="22" t="s">
        <v>118</v>
      </c>
      <c r="I158" s="22" t="s">
        <v>118</v>
      </c>
      <c r="J158" s="22" t="s">
        <v>118</v>
      </c>
      <c r="K158" s="22" t="s">
        <v>118</v>
      </c>
      <c r="L158" s="22" t="s">
        <v>118</v>
      </c>
      <c r="M158" s="22" t="s">
        <v>118</v>
      </c>
      <c r="N158" s="22" t="s">
        <v>118</v>
      </c>
      <c r="O158" s="4"/>
      <c r="P158" s="4"/>
      <c r="Q158" s="4"/>
      <c r="R158" s="6"/>
      <c r="S158" s="6"/>
      <c r="T158" s="31" t="str">
        <f ca="1">IF(ProductionInventoryTable[[#This Row],[Campaign Name]]="","",NOW())</f>
        <v/>
      </c>
    </row>
    <row r="159" spans="1:20" ht="17.25">
      <c r="A159" s="23"/>
      <c r="B159" s="5"/>
      <c r="C159" s="4"/>
      <c r="D159" s="4"/>
      <c r="E15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59" s="4"/>
      <c r="G159" s="22" t="s">
        <v>118</v>
      </c>
      <c r="H159" s="22" t="s">
        <v>118</v>
      </c>
      <c r="I159" s="22" t="s">
        <v>118</v>
      </c>
      <c r="J159" s="22" t="s">
        <v>118</v>
      </c>
      <c r="K159" s="22" t="s">
        <v>118</v>
      </c>
      <c r="L159" s="22" t="s">
        <v>118</v>
      </c>
      <c r="M159" s="22" t="s">
        <v>118</v>
      </c>
      <c r="N159" s="22" t="s">
        <v>118</v>
      </c>
      <c r="O159" s="4"/>
      <c r="P159" s="4"/>
      <c r="Q159" s="4"/>
      <c r="R159" s="6"/>
      <c r="S159" s="6"/>
      <c r="T159" s="31" t="str">
        <f ca="1">IF(ProductionInventoryTable[[#This Row],[Campaign Name]]="","",NOW())</f>
        <v/>
      </c>
    </row>
    <row r="160" spans="1:20" ht="17.25">
      <c r="A160" s="23"/>
      <c r="B160" s="5"/>
      <c r="C160" s="4"/>
      <c r="D160" s="4"/>
      <c r="E16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0" s="4"/>
      <c r="G160" s="22" t="s">
        <v>118</v>
      </c>
      <c r="H160" s="22" t="s">
        <v>118</v>
      </c>
      <c r="I160" s="22" t="s">
        <v>118</v>
      </c>
      <c r="J160" s="22" t="s">
        <v>118</v>
      </c>
      <c r="K160" s="22" t="s">
        <v>118</v>
      </c>
      <c r="L160" s="22" t="s">
        <v>118</v>
      </c>
      <c r="M160" s="22" t="s">
        <v>118</v>
      </c>
      <c r="N160" s="22" t="s">
        <v>118</v>
      </c>
      <c r="O160" s="4"/>
      <c r="P160" s="4"/>
      <c r="Q160" s="4"/>
      <c r="R160" s="6"/>
      <c r="S160" s="6"/>
      <c r="T160" s="31" t="str">
        <f ca="1">IF(ProductionInventoryTable[[#This Row],[Campaign Name]]="","",NOW())</f>
        <v/>
      </c>
    </row>
    <row r="161" spans="1:20" ht="17.25">
      <c r="A161" s="23"/>
      <c r="B161" s="5"/>
      <c r="C161" s="4"/>
      <c r="D161" s="4"/>
      <c r="E16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1" s="4"/>
      <c r="G161" s="22" t="s">
        <v>118</v>
      </c>
      <c r="H161" s="22" t="s">
        <v>118</v>
      </c>
      <c r="I161" s="22" t="s">
        <v>118</v>
      </c>
      <c r="J161" s="22" t="s">
        <v>118</v>
      </c>
      <c r="K161" s="22" t="s">
        <v>118</v>
      </c>
      <c r="L161" s="22" t="s">
        <v>118</v>
      </c>
      <c r="M161" s="22" t="s">
        <v>118</v>
      </c>
      <c r="N161" s="22" t="s">
        <v>118</v>
      </c>
      <c r="O161" s="4"/>
      <c r="P161" s="4"/>
      <c r="Q161" s="4"/>
      <c r="R161" s="6"/>
      <c r="S161" s="6"/>
      <c r="T161" s="31" t="str">
        <f ca="1">IF(ProductionInventoryTable[[#This Row],[Campaign Name]]="","",NOW())</f>
        <v/>
      </c>
    </row>
    <row r="162" spans="1:20" ht="17.25">
      <c r="A162" s="23"/>
      <c r="B162" s="5"/>
      <c r="C162" s="4"/>
      <c r="D162" s="4"/>
      <c r="E16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2" s="4"/>
      <c r="G162" s="22" t="s">
        <v>118</v>
      </c>
      <c r="H162" s="22" t="s">
        <v>118</v>
      </c>
      <c r="I162" s="22" t="s">
        <v>118</v>
      </c>
      <c r="J162" s="22" t="s">
        <v>118</v>
      </c>
      <c r="K162" s="22" t="s">
        <v>118</v>
      </c>
      <c r="L162" s="22" t="s">
        <v>118</v>
      </c>
      <c r="M162" s="22" t="s">
        <v>118</v>
      </c>
      <c r="N162" s="22" t="s">
        <v>118</v>
      </c>
      <c r="O162" s="4"/>
      <c r="P162" s="4"/>
      <c r="Q162" s="4"/>
      <c r="R162" s="6"/>
      <c r="S162" s="6"/>
      <c r="T162" s="31" t="str">
        <f ca="1">IF(ProductionInventoryTable[[#This Row],[Campaign Name]]="","",NOW())</f>
        <v/>
      </c>
    </row>
    <row r="163" spans="1:20" ht="17.25">
      <c r="A163" s="23"/>
      <c r="B163" s="5"/>
      <c r="C163" s="4"/>
      <c r="D163" s="4"/>
      <c r="E16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3" s="4"/>
      <c r="G163" s="22" t="s">
        <v>118</v>
      </c>
      <c r="H163" s="22" t="s">
        <v>118</v>
      </c>
      <c r="I163" s="22" t="s">
        <v>118</v>
      </c>
      <c r="J163" s="22" t="s">
        <v>118</v>
      </c>
      <c r="K163" s="22" t="s">
        <v>118</v>
      </c>
      <c r="L163" s="22" t="s">
        <v>118</v>
      </c>
      <c r="M163" s="22" t="s">
        <v>118</v>
      </c>
      <c r="N163" s="22" t="s">
        <v>118</v>
      </c>
      <c r="O163" s="4"/>
      <c r="P163" s="4"/>
      <c r="Q163" s="4"/>
      <c r="R163" s="6"/>
      <c r="S163" s="6"/>
      <c r="T163" s="31" t="str">
        <f ca="1">IF(ProductionInventoryTable[[#This Row],[Campaign Name]]="","",NOW())</f>
        <v/>
      </c>
    </row>
    <row r="164" spans="1:20" ht="17.25">
      <c r="A164" s="23"/>
      <c r="B164" s="5"/>
      <c r="C164" s="4"/>
      <c r="D164" s="4"/>
      <c r="E16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4" s="4"/>
      <c r="G164" s="22" t="s">
        <v>118</v>
      </c>
      <c r="H164" s="22" t="s">
        <v>118</v>
      </c>
      <c r="I164" s="22" t="s">
        <v>118</v>
      </c>
      <c r="J164" s="22" t="s">
        <v>118</v>
      </c>
      <c r="K164" s="22" t="s">
        <v>118</v>
      </c>
      <c r="L164" s="22" t="s">
        <v>118</v>
      </c>
      <c r="M164" s="22" t="s">
        <v>118</v>
      </c>
      <c r="N164" s="22" t="s">
        <v>118</v>
      </c>
      <c r="O164" s="4"/>
      <c r="P164" s="4"/>
      <c r="Q164" s="4"/>
      <c r="R164" s="6"/>
      <c r="S164" s="6"/>
      <c r="T164" s="31" t="str">
        <f ca="1">IF(ProductionInventoryTable[[#This Row],[Campaign Name]]="","",NOW())</f>
        <v/>
      </c>
    </row>
    <row r="165" spans="1:20" ht="17.25">
      <c r="A165" s="23"/>
      <c r="B165" s="5"/>
      <c r="C165" s="4"/>
      <c r="D165" s="4"/>
      <c r="E16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5" s="4"/>
      <c r="G165" s="22" t="s">
        <v>118</v>
      </c>
      <c r="H165" s="22" t="s">
        <v>118</v>
      </c>
      <c r="I165" s="22" t="s">
        <v>118</v>
      </c>
      <c r="J165" s="22" t="s">
        <v>118</v>
      </c>
      <c r="K165" s="22" t="s">
        <v>118</v>
      </c>
      <c r="L165" s="22" t="s">
        <v>118</v>
      </c>
      <c r="M165" s="22" t="s">
        <v>118</v>
      </c>
      <c r="N165" s="22" t="s">
        <v>118</v>
      </c>
      <c r="O165" s="4"/>
      <c r="P165" s="4"/>
      <c r="Q165" s="4"/>
      <c r="R165" s="6"/>
      <c r="S165" s="6"/>
      <c r="T165" s="31" t="str">
        <f ca="1">IF(ProductionInventoryTable[[#This Row],[Campaign Name]]="","",NOW())</f>
        <v/>
      </c>
    </row>
    <row r="166" spans="1:20" ht="17.25">
      <c r="A166" s="23"/>
      <c r="B166" s="5"/>
      <c r="C166" s="4"/>
      <c r="D166" s="4"/>
      <c r="E16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6" s="4"/>
      <c r="G166" s="22" t="s">
        <v>118</v>
      </c>
      <c r="H166" s="22" t="s">
        <v>118</v>
      </c>
      <c r="I166" s="22" t="s">
        <v>118</v>
      </c>
      <c r="J166" s="22" t="s">
        <v>118</v>
      </c>
      <c r="K166" s="22" t="s">
        <v>118</v>
      </c>
      <c r="L166" s="22" t="s">
        <v>118</v>
      </c>
      <c r="M166" s="22" t="s">
        <v>118</v>
      </c>
      <c r="N166" s="22" t="s">
        <v>118</v>
      </c>
      <c r="O166" s="4"/>
      <c r="P166" s="4"/>
      <c r="Q166" s="4"/>
      <c r="R166" s="6"/>
      <c r="S166" s="6"/>
      <c r="T166" s="31" t="str">
        <f ca="1">IF(ProductionInventoryTable[[#This Row],[Campaign Name]]="","",NOW())</f>
        <v/>
      </c>
    </row>
    <row r="167" spans="1:20" ht="17.25">
      <c r="A167" s="23"/>
      <c r="B167" s="5"/>
      <c r="C167" s="4"/>
      <c r="D167" s="4"/>
      <c r="E16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7" s="4"/>
      <c r="G167" s="22" t="s">
        <v>118</v>
      </c>
      <c r="H167" s="22" t="s">
        <v>118</v>
      </c>
      <c r="I167" s="22" t="s">
        <v>118</v>
      </c>
      <c r="J167" s="22" t="s">
        <v>118</v>
      </c>
      <c r="K167" s="22" t="s">
        <v>118</v>
      </c>
      <c r="L167" s="22" t="s">
        <v>118</v>
      </c>
      <c r="M167" s="22" t="s">
        <v>118</v>
      </c>
      <c r="N167" s="22" t="s">
        <v>118</v>
      </c>
      <c r="O167" s="4"/>
      <c r="P167" s="4"/>
      <c r="Q167" s="4"/>
      <c r="R167" s="6"/>
      <c r="S167" s="6"/>
      <c r="T167" s="31" t="str">
        <f ca="1">IF(ProductionInventoryTable[[#This Row],[Campaign Name]]="","",NOW())</f>
        <v/>
      </c>
    </row>
    <row r="168" spans="1:20" ht="17.25">
      <c r="A168" s="23"/>
      <c r="B168" s="5"/>
      <c r="C168" s="4"/>
      <c r="D168" s="4"/>
      <c r="E16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8" s="4"/>
      <c r="G168" s="22" t="s">
        <v>118</v>
      </c>
      <c r="H168" s="22" t="s">
        <v>118</v>
      </c>
      <c r="I168" s="22" t="s">
        <v>118</v>
      </c>
      <c r="J168" s="22" t="s">
        <v>118</v>
      </c>
      <c r="K168" s="22" t="s">
        <v>118</v>
      </c>
      <c r="L168" s="22" t="s">
        <v>118</v>
      </c>
      <c r="M168" s="22" t="s">
        <v>118</v>
      </c>
      <c r="N168" s="22" t="s">
        <v>118</v>
      </c>
      <c r="O168" s="4"/>
      <c r="P168" s="4"/>
      <c r="Q168" s="4"/>
      <c r="R168" s="6"/>
      <c r="S168" s="6"/>
      <c r="T168" s="31" t="str">
        <f ca="1">IF(ProductionInventoryTable[[#This Row],[Campaign Name]]="","",NOW())</f>
        <v/>
      </c>
    </row>
    <row r="169" spans="1:20" ht="17.25">
      <c r="A169" s="23"/>
      <c r="B169" s="5"/>
      <c r="C169" s="4"/>
      <c r="D169" s="4"/>
      <c r="E16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69" s="4"/>
      <c r="G169" s="22" t="s">
        <v>118</v>
      </c>
      <c r="H169" s="22" t="s">
        <v>118</v>
      </c>
      <c r="I169" s="22" t="s">
        <v>118</v>
      </c>
      <c r="J169" s="22" t="s">
        <v>118</v>
      </c>
      <c r="K169" s="22" t="s">
        <v>118</v>
      </c>
      <c r="L169" s="22" t="s">
        <v>118</v>
      </c>
      <c r="M169" s="22" t="s">
        <v>118</v>
      </c>
      <c r="N169" s="22" t="s">
        <v>118</v>
      </c>
      <c r="O169" s="4"/>
      <c r="P169" s="4"/>
      <c r="Q169" s="4"/>
      <c r="R169" s="6"/>
      <c r="S169" s="6"/>
      <c r="T169" s="31" t="str">
        <f ca="1">IF(ProductionInventoryTable[[#This Row],[Campaign Name]]="","",NOW())</f>
        <v/>
      </c>
    </row>
    <row r="170" spans="1:20" ht="17.25">
      <c r="A170" s="23"/>
      <c r="B170" s="5"/>
      <c r="C170" s="4"/>
      <c r="D170" s="4"/>
      <c r="E17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0" s="4"/>
      <c r="G170" s="22" t="s">
        <v>118</v>
      </c>
      <c r="H170" s="22" t="s">
        <v>118</v>
      </c>
      <c r="I170" s="22" t="s">
        <v>118</v>
      </c>
      <c r="J170" s="22" t="s">
        <v>118</v>
      </c>
      <c r="K170" s="22" t="s">
        <v>118</v>
      </c>
      <c r="L170" s="22" t="s">
        <v>118</v>
      </c>
      <c r="M170" s="22" t="s">
        <v>118</v>
      </c>
      <c r="N170" s="22" t="s">
        <v>118</v>
      </c>
      <c r="O170" s="4"/>
      <c r="P170" s="4"/>
      <c r="Q170" s="4"/>
      <c r="R170" s="6"/>
      <c r="S170" s="6"/>
      <c r="T170" s="31" t="str">
        <f ca="1">IF(ProductionInventoryTable[[#This Row],[Campaign Name]]="","",NOW())</f>
        <v/>
      </c>
    </row>
    <row r="171" spans="1:20" ht="17.25">
      <c r="A171" s="23"/>
      <c r="B171" s="5"/>
      <c r="C171" s="4"/>
      <c r="D171" s="4"/>
      <c r="E17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1" s="4"/>
      <c r="G171" s="22" t="s">
        <v>118</v>
      </c>
      <c r="H171" s="22" t="s">
        <v>118</v>
      </c>
      <c r="I171" s="22" t="s">
        <v>118</v>
      </c>
      <c r="J171" s="22" t="s">
        <v>118</v>
      </c>
      <c r="K171" s="22" t="s">
        <v>118</v>
      </c>
      <c r="L171" s="22" t="s">
        <v>118</v>
      </c>
      <c r="M171" s="22" t="s">
        <v>118</v>
      </c>
      <c r="N171" s="22" t="s">
        <v>118</v>
      </c>
      <c r="O171" s="4"/>
      <c r="P171" s="4"/>
      <c r="Q171" s="4"/>
      <c r="R171" s="6"/>
      <c r="S171" s="6"/>
      <c r="T171" s="31" t="str">
        <f ca="1">IF(ProductionInventoryTable[[#This Row],[Campaign Name]]="","",NOW())</f>
        <v/>
      </c>
    </row>
    <row r="172" spans="1:20" ht="17.25">
      <c r="A172" s="23"/>
      <c r="B172" s="5"/>
      <c r="C172" s="4"/>
      <c r="D172" s="4"/>
      <c r="E17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2" s="4"/>
      <c r="G172" s="22" t="s">
        <v>118</v>
      </c>
      <c r="H172" s="22" t="s">
        <v>118</v>
      </c>
      <c r="I172" s="22" t="s">
        <v>118</v>
      </c>
      <c r="J172" s="22" t="s">
        <v>118</v>
      </c>
      <c r="K172" s="22" t="s">
        <v>118</v>
      </c>
      <c r="L172" s="22" t="s">
        <v>118</v>
      </c>
      <c r="M172" s="22" t="s">
        <v>118</v>
      </c>
      <c r="N172" s="22" t="s">
        <v>118</v>
      </c>
      <c r="O172" s="4"/>
      <c r="P172" s="4"/>
      <c r="Q172" s="4"/>
      <c r="R172" s="6"/>
      <c r="S172" s="6"/>
      <c r="T172" s="31" t="str">
        <f ca="1">IF(ProductionInventoryTable[[#This Row],[Campaign Name]]="","",NOW())</f>
        <v/>
      </c>
    </row>
    <row r="173" spans="1:20" ht="17.25">
      <c r="A173" s="23"/>
      <c r="B173" s="5"/>
      <c r="C173" s="4"/>
      <c r="D173" s="4"/>
      <c r="E17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3" s="4"/>
      <c r="G173" s="22" t="s">
        <v>118</v>
      </c>
      <c r="H173" s="22" t="s">
        <v>118</v>
      </c>
      <c r="I173" s="22" t="s">
        <v>118</v>
      </c>
      <c r="J173" s="22" t="s">
        <v>118</v>
      </c>
      <c r="K173" s="22" t="s">
        <v>118</v>
      </c>
      <c r="L173" s="22" t="s">
        <v>118</v>
      </c>
      <c r="M173" s="22" t="s">
        <v>118</v>
      </c>
      <c r="N173" s="22" t="s">
        <v>118</v>
      </c>
      <c r="O173" s="4"/>
      <c r="P173" s="4"/>
      <c r="Q173" s="4"/>
      <c r="R173" s="6"/>
      <c r="S173" s="6"/>
      <c r="T173" s="31" t="str">
        <f ca="1">IF(ProductionInventoryTable[[#This Row],[Campaign Name]]="","",NOW())</f>
        <v/>
      </c>
    </row>
    <row r="174" spans="1:20" ht="17.25">
      <c r="A174" s="23"/>
      <c r="B174" s="5"/>
      <c r="C174" s="4"/>
      <c r="D174" s="4"/>
      <c r="E17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4" s="4"/>
      <c r="G174" s="22" t="s">
        <v>118</v>
      </c>
      <c r="H174" s="22" t="s">
        <v>118</v>
      </c>
      <c r="I174" s="22" t="s">
        <v>118</v>
      </c>
      <c r="J174" s="22" t="s">
        <v>118</v>
      </c>
      <c r="K174" s="22" t="s">
        <v>118</v>
      </c>
      <c r="L174" s="22" t="s">
        <v>118</v>
      </c>
      <c r="M174" s="22" t="s">
        <v>118</v>
      </c>
      <c r="N174" s="22" t="s">
        <v>118</v>
      </c>
      <c r="O174" s="4"/>
      <c r="P174" s="4"/>
      <c r="Q174" s="4"/>
      <c r="R174" s="6"/>
      <c r="S174" s="6"/>
      <c r="T174" s="31" t="str">
        <f ca="1">IF(ProductionInventoryTable[[#This Row],[Campaign Name]]="","",NOW())</f>
        <v/>
      </c>
    </row>
    <row r="175" spans="1:20" ht="17.25">
      <c r="A175" s="23"/>
      <c r="B175" s="5"/>
      <c r="C175" s="4"/>
      <c r="D175" s="4"/>
      <c r="E17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5" s="4"/>
      <c r="G175" s="22" t="s">
        <v>118</v>
      </c>
      <c r="H175" s="22" t="s">
        <v>118</v>
      </c>
      <c r="I175" s="22" t="s">
        <v>118</v>
      </c>
      <c r="J175" s="22" t="s">
        <v>118</v>
      </c>
      <c r="K175" s="22" t="s">
        <v>118</v>
      </c>
      <c r="L175" s="22" t="s">
        <v>118</v>
      </c>
      <c r="M175" s="22" t="s">
        <v>118</v>
      </c>
      <c r="N175" s="22" t="s">
        <v>118</v>
      </c>
      <c r="O175" s="4"/>
      <c r="P175" s="4"/>
      <c r="Q175" s="4"/>
      <c r="R175" s="6"/>
      <c r="S175" s="6"/>
      <c r="T175" s="31" t="str">
        <f ca="1">IF(ProductionInventoryTable[[#This Row],[Campaign Name]]="","",NOW())</f>
        <v/>
      </c>
    </row>
    <row r="176" spans="1:20" ht="17.25">
      <c r="A176" s="23"/>
      <c r="B176" s="5"/>
      <c r="C176" s="4"/>
      <c r="D176" s="4"/>
      <c r="E17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6" s="4"/>
      <c r="G176" s="22" t="s">
        <v>118</v>
      </c>
      <c r="H176" s="22" t="s">
        <v>118</v>
      </c>
      <c r="I176" s="22" t="s">
        <v>118</v>
      </c>
      <c r="J176" s="22" t="s">
        <v>118</v>
      </c>
      <c r="K176" s="22" t="s">
        <v>118</v>
      </c>
      <c r="L176" s="22" t="s">
        <v>118</v>
      </c>
      <c r="M176" s="22" t="s">
        <v>118</v>
      </c>
      <c r="N176" s="22" t="s">
        <v>118</v>
      </c>
      <c r="O176" s="4"/>
      <c r="P176" s="4"/>
      <c r="Q176" s="4"/>
      <c r="R176" s="6"/>
      <c r="S176" s="6"/>
      <c r="T176" s="31" t="str">
        <f ca="1">IF(ProductionInventoryTable[[#This Row],[Campaign Name]]="","",NOW())</f>
        <v/>
      </c>
    </row>
    <row r="177" spans="1:20" ht="17.25">
      <c r="A177" s="23"/>
      <c r="B177" s="5"/>
      <c r="C177" s="4"/>
      <c r="D177" s="4"/>
      <c r="E17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7" s="4"/>
      <c r="G177" s="22" t="s">
        <v>118</v>
      </c>
      <c r="H177" s="22" t="s">
        <v>118</v>
      </c>
      <c r="I177" s="22" t="s">
        <v>118</v>
      </c>
      <c r="J177" s="22" t="s">
        <v>118</v>
      </c>
      <c r="K177" s="22" t="s">
        <v>118</v>
      </c>
      <c r="L177" s="22" t="s">
        <v>118</v>
      </c>
      <c r="M177" s="22" t="s">
        <v>118</v>
      </c>
      <c r="N177" s="22" t="s">
        <v>118</v>
      </c>
      <c r="O177" s="4"/>
      <c r="P177" s="4"/>
      <c r="Q177" s="4"/>
      <c r="R177" s="6"/>
      <c r="S177" s="6"/>
      <c r="T177" s="31" t="str">
        <f ca="1">IF(ProductionInventoryTable[[#This Row],[Campaign Name]]="","",NOW())</f>
        <v/>
      </c>
    </row>
    <row r="178" spans="1:20" ht="17.25">
      <c r="A178" s="23"/>
      <c r="B178" s="5"/>
      <c r="C178" s="4"/>
      <c r="D178" s="4"/>
      <c r="E17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8" s="4"/>
      <c r="G178" s="22" t="s">
        <v>118</v>
      </c>
      <c r="H178" s="22" t="s">
        <v>118</v>
      </c>
      <c r="I178" s="22" t="s">
        <v>118</v>
      </c>
      <c r="J178" s="22" t="s">
        <v>118</v>
      </c>
      <c r="K178" s="22" t="s">
        <v>118</v>
      </c>
      <c r="L178" s="22" t="s">
        <v>118</v>
      </c>
      <c r="M178" s="22" t="s">
        <v>118</v>
      </c>
      <c r="N178" s="22" t="s">
        <v>118</v>
      </c>
      <c r="O178" s="4"/>
      <c r="P178" s="4"/>
      <c r="Q178" s="4"/>
      <c r="R178" s="6"/>
      <c r="S178" s="6"/>
      <c r="T178" s="31" t="str">
        <f ca="1">IF(ProductionInventoryTable[[#This Row],[Campaign Name]]="","",NOW())</f>
        <v/>
      </c>
    </row>
    <row r="179" spans="1:20" ht="17.25">
      <c r="A179" s="23"/>
      <c r="B179" s="5"/>
      <c r="C179" s="4"/>
      <c r="D179" s="4"/>
      <c r="E17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79" s="4"/>
      <c r="G179" s="22" t="s">
        <v>118</v>
      </c>
      <c r="H179" s="22" t="s">
        <v>118</v>
      </c>
      <c r="I179" s="22" t="s">
        <v>118</v>
      </c>
      <c r="J179" s="22" t="s">
        <v>118</v>
      </c>
      <c r="K179" s="22" t="s">
        <v>118</v>
      </c>
      <c r="L179" s="22" t="s">
        <v>118</v>
      </c>
      <c r="M179" s="22" t="s">
        <v>118</v>
      </c>
      <c r="N179" s="22" t="s">
        <v>118</v>
      </c>
      <c r="O179" s="4"/>
      <c r="P179" s="4"/>
      <c r="Q179" s="4"/>
      <c r="R179" s="6"/>
      <c r="S179" s="6"/>
      <c r="T179" s="31" t="str">
        <f ca="1">IF(ProductionInventoryTable[[#This Row],[Campaign Name]]="","",NOW())</f>
        <v/>
      </c>
    </row>
    <row r="180" spans="1:20" ht="17.25">
      <c r="A180" s="23"/>
      <c r="B180" s="5"/>
      <c r="C180" s="4"/>
      <c r="D180" s="4"/>
      <c r="E18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0" s="4"/>
      <c r="G180" s="22" t="s">
        <v>118</v>
      </c>
      <c r="H180" s="22" t="s">
        <v>118</v>
      </c>
      <c r="I180" s="22" t="s">
        <v>118</v>
      </c>
      <c r="J180" s="22" t="s">
        <v>118</v>
      </c>
      <c r="K180" s="22" t="s">
        <v>118</v>
      </c>
      <c r="L180" s="22" t="s">
        <v>118</v>
      </c>
      <c r="M180" s="22" t="s">
        <v>118</v>
      </c>
      <c r="N180" s="22" t="s">
        <v>118</v>
      </c>
      <c r="O180" s="4"/>
      <c r="P180" s="4"/>
      <c r="Q180" s="4"/>
      <c r="R180" s="6"/>
      <c r="S180" s="6"/>
      <c r="T180" s="31" t="str">
        <f ca="1">IF(ProductionInventoryTable[[#This Row],[Campaign Name]]="","",NOW())</f>
        <v/>
      </c>
    </row>
    <row r="181" spans="1:20" ht="17.25">
      <c r="A181" s="23"/>
      <c r="B181" s="5"/>
      <c r="C181" s="4"/>
      <c r="D181" s="4"/>
      <c r="E18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1" s="4"/>
      <c r="G181" s="22" t="s">
        <v>118</v>
      </c>
      <c r="H181" s="22" t="s">
        <v>118</v>
      </c>
      <c r="I181" s="22" t="s">
        <v>118</v>
      </c>
      <c r="J181" s="22" t="s">
        <v>118</v>
      </c>
      <c r="K181" s="22" t="s">
        <v>118</v>
      </c>
      <c r="L181" s="22" t="s">
        <v>118</v>
      </c>
      <c r="M181" s="22" t="s">
        <v>118</v>
      </c>
      <c r="N181" s="22" t="s">
        <v>118</v>
      </c>
      <c r="O181" s="4"/>
      <c r="P181" s="4"/>
      <c r="Q181" s="4"/>
      <c r="R181" s="6"/>
      <c r="S181" s="6"/>
      <c r="T181" s="31" t="str">
        <f ca="1">IF(ProductionInventoryTable[[#This Row],[Campaign Name]]="","",NOW())</f>
        <v/>
      </c>
    </row>
    <row r="182" spans="1:20" ht="17.25">
      <c r="A182" s="23"/>
      <c r="B182" s="5"/>
      <c r="C182" s="4"/>
      <c r="D182" s="4"/>
      <c r="E18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2" s="4"/>
      <c r="G182" s="22" t="s">
        <v>118</v>
      </c>
      <c r="H182" s="22" t="s">
        <v>118</v>
      </c>
      <c r="I182" s="22" t="s">
        <v>118</v>
      </c>
      <c r="J182" s="22" t="s">
        <v>118</v>
      </c>
      <c r="K182" s="22" t="s">
        <v>118</v>
      </c>
      <c r="L182" s="22" t="s">
        <v>118</v>
      </c>
      <c r="M182" s="22" t="s">
        <v>118</v>
      </c>
      <c r="N182" s="22" t="s">
        <v>118</v>
      </c>
      <c r="O182" s="4"/>
      <c r="P182" s="4"/>
      <c r="Q182" s="4"/>
      <c r="R182" s="6"/>
      <c r="S182" s="6"/>
      <c r="T182" s="31" t="str">
        <f ca="1">IF(ProductionInventoryTable[[#This Row],[Campaign Name]]="","",NOW())</f>
        <v/>
      </c>
    </row>
    <row r="183" spans="1:20" ht="17.25">
      <c r="A183" s="23"/>
      <c r="B183" s="5"/>
      <c r="C183" s="4"/>
      <c r="D183" s="4"/>
      <c r="E18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3" s="4"/>
      <c r="G183" s="22" t="s">
        <v>118</v>
      </c>
      <c r="H183" s="22" t="s">
        <v>118</v>
      </c>
      <c r="I183" s="22" t="s">
        <v>118</v>
      </c>
      <c r="J183" s="22" t="s">
        <v>118</v>
      </c>
      <c r="K183" s="22" t="s">
        <v>118</v>
      </c>
      <c r="L183" s="22" t="s">
        <v>118</v>
      </c>
      <c r="M183" s="22" t="s">
        <v>118</v>
      </c>
      <c r="N183" s="22" t="s">
        <v>118</v>
      </c>
      <c r="O183" s="4"/>
      <c r="P183" s="4"/>
      <c r="Q183" s="4"/>
      <c r="R183" s="6"/>
      <c r="S183" s="6"/>
      <c r="T183" s="31" t="str">
        <f ca="1">IF(ProductionInventoryTable[[#This Row],[Campaign Name]]="","",NOW())</f>
        <v/>
      </c>
    </row>
    <row r="184" spans="1:20" ht="17.25">
      <c r="A184" s="23"/>
      <c r="B184" s="5"/>
      <c r="C184" s="4"/>
      <c r="D184" s="4"/>
      <c r="E18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4" s="4"/>
      <c r="G184" s="22" t="s">
        <v>118</v>
      </c>
      <c r="H184" s="22" t="s">
        <v>118</v>
      </c>
      <c r="I184" s="22" t="s">
        <v>118</v>
      </c>
      <c r="J184" s="22" t="s">
        <v>118</v>
      </c>
      <c r="K184" s="22" t="s">
        <v>118</v>
      </c>
      <c r="L184" s="22" t="s">
        <v>118</v>
      </c>
      <c r="M184" s="22" t="s">
        <v>118</v>
      </c>
      <c r="N184" s="22" t="s">
        <v>118</v>
      </c>
      <c r="O184" s="4"/>
      <c r="P184" s="4"/>
      <c r="Q184" s="4"/>
      <c r="R184" s="6"/>
      <c r="S184" s="6"/>
      <c r="T184" s="31" t="str">
        <f ca="1">IF(ProductionInventoryTable[[#This Row],[Campaign Name]]="","",NOW())</f>
        <v/>
      </c>
    </row>
    <row r="185" spans="1:20" ht="17.25">
      <c r="A185" s="23"/>
      <c r="B185" s="5"/>
      <c r="C185" s="4"/>
      <c r="D185" s="4"/>
      <c r="E18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5" s="4"/>
      <c r="G185" s="22" t="s">
        <v>118</v>
      </c>
      <c r="H185" s="22" t="s">
        <v>118</v>
      </c>
      <c r="I185" s="22" t="s">
        <v>118</v>
      </c>
      <c r="J185" s="22" t="s">
        <v>118</v>
      </c>
      <c r="K185" s="22" t="s">
        <v>118</v>
      </c>
      <c r="L185" s="22" t="s">
        <v>118</v>
      </c>
      <c r="M185" s="22" t="s">
        <v>118</v>
      </c>
      <c r="N185" s="22" t="s">
        <v>118</v>
      </c>
      <c r="O185" s="4"/>
      <c r="P185" s="4"/>
      <c r="Q185" s="4"/>
      <c r="R185" s="6"/>
      <c r="S185" s="6"/>
      <c r="T185" s="31" t="str">
        <f ca="1">IF(ProductionInventoryTable[[#This Row],[Campaign Name]]="","",NOW())</f>
        <v/>
      </c>
    </row>
    <row r="186" spans="1:20" ht="17.25">
      <c r="A186" s="23"/>
      <c r="B186" s="5"/>
      <c r="C186" s="4"/>
      <c r="D186" s="4"/>
      <c r="E18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6" s="4"/>
      <c r="G186" s="22" t="s">
        <v>118</v>
      </c>
      <c r="H186" s="22" t="s">
        <v>118</v>
      </c>
      <c r="I186" s="22" t="s">
        <v>118</v>
      </c>
      <c r="J186" s="22" t="s">
        <v>118</v>
      </c>
      <c r="K186" s="22" t="s">
        <v>118</v>
      </c>
      <c r="L186" s="22" t="s">
        <v>118</v>
      </c>
      <c r="M186" s="22" t="s">
        <v>118</v>
      </c>
      <c r="N186" s="22" t="s">
        <v>118</v>
      </c>
      <c r="O186" s="4"/>
      <c r="P186" s="4"/>
      <c r="Q186" s="4"/>
      <c r="R186" s="6"/>
      <c r="S186" s="6"/>
      <c r="T186" s="31" t="str">
        <f ca="1">IF(ProductionInventoryTable[[#This Row],[Campaign Name]]="","",NOW())</f>
        <v/>
      </c>
    </row>
    <row r="187" spans="1:20" ht="17.25">
      <c r="A187" s="23"/>
      <c r="B187" s="5"/>
      <c r="C187" s="4"/>
      <c r="D187" s="4"/>
      <c r="E18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7" s="4"/>
      <c r="G187" s="22" t="s">
        <v>118</v>
      </c>
      <c r="H187" s="22" t="s">
        <v>118</v>
      </c>
      <c r="I187" s="22" t="s">
        <v>118</v>
      </c>
      <c r="J187" s="22" t="s">
        <v>118</v>
      </c>
      <c r="K187" s="22" t="s">
        <v>118</v>
      </c>
      <c r="L187" s="22" t="s">
        <v>118</v>
      </c>
      <c r="M187" s="22" t="s">
        <v>118</v>
      </c>
      <c r="N187" s="22" t="s">
        <v>118</v>
      </c>
      <c r="O187" s="4"/>
      <c r="P187" s="4"/>
      <c r="Q187" s="4"/>
      <c r="R187" s="6"/>
      <c r="S187" s="6"/>
      <c r="T187" s="31" t="str">
        <f ca="1">IF(ProductionInventoryTable[[#This Row],[Campaign Name]]="","",NOW())</f>
        <v/>
      </c>
    </row>
    <row r="188" spans="1:20" ht="17.25">
      <c r="A188" s="23"/>
      <c r="B188" s="5"/>
      <c r="C188" s="4"/>
      <c r="D188" s="4"/>
      <c r="E18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8" s="4"/>
      <c r="G188" s="22" t="s">
        <v>118</v>
      </c>
      <c r="H188" s="22" t="s">
        <v>118</v>
      </c>
      <c r="I188" s="22" t="s">
        <v>118</v>
      </c>
      <c r="J188" s="22" t="s">
        <v>118</v>
      </c>
      <c r="K188" s="22" t="s">
        <v>118</v>
      </c>
      <c r="L188" s="22" t="s">
        <v>118</v>
      </c>
      <c r="M188" s="22" t="s">
        <v>118</v>
      </c>
      <c r="N188" s="22" t="s">
        <v>118</v>
      </c>
      <c r="O188" s="4"/>
      <c r="P188" s="4"/>
      <c r="Q188" s="4"/>
      <c r="R188" s="6"/>
      <c r="S188" s="6"/>
      <c r="T188" s="31" t="str">
        <f ca="1">IF(ProductionInventoryTable[[#This Row],[Campaign Name]]="","",NOW())</f>
        <v/>
      </c>
    </row>
    <row r="189" spans="1:20" ht="17.25">
      <c r="A189" s="23"/>
      <c r="B189" s="5"/>
      <c r="C189" s="4"/>
      <c r="D189" s="4"/>
      <c r="E18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89" s="4"/>
      <c r="G189" s="22" t="s">
        <v>118</v>
      </c>
      <c r="H189" s="22" t="s">
        <v>118</v>
      </c>
      <c r="I189" s="22" t="s">
        <v>118</v>
      </c>
      <c r="J189" s="22" t="s">
        <v>118</v>
      </c>
      <c r="K189" s="22" t="s">
        <v>118</v>
      </c>
      <c r="L189" s="22" t="s">
        <v>118</v>
      </c>
      <c r="M189" s="22" t="s">
        <v>118</v>
      </c>
      <c r="N189" s="22" t="s">
        <v>118</v>
      </c>
      <c r="O189" s="4"/>
      <c r="P189" s="4"/>
      <c r="Q189" s="4"/>
      <c r="R189" s="6"/>
      <c r="S189" s="6"/>
      <c r="T189" s="31" t="str">
        <f ca="1">IF(ProductionInventoryTable[[#This Row],[Campaign Name]]="","",NOW())</f>
        <v/>
      </c>
    </row>
    <row r="190" spans="1:20" ht="17.25">
      <c r="A190" s="23"/>
      <c r="B190" s="5"/>
      <c r="C190" s="4"/>
      <c r="D190" s="4"/>
      <c r="E19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0" s="4"/>
      <c r="G190" s="22" t="s">
        <v>118</v>
      </c>
      <c r="H190" s="22" t="s">
        <v>118</v>
      </c>
      <c r="I190" s="22" t="s">
        <v>118</v>
      </c>
      <c r="J190" s="22" t="s">
        <v>118</v>
      </c>
      <c r="K190" s="22" t="s">
        <v>118</v>
      </c>
      <c r="L190" s="22" t="s">
        <v>118</v>
      </c>
      <c r="M190" s="22" t="s">
        <v>118</v>
      </c>
      <c r="N190" s="22" t="s">
        <v>118</v>
      </c>
      <c r="O190" s="4"/>
      <c r="P190" s="4"/>
      <c r="Q190" s="4"/>
      <c r="R190" s="6"/>
      <c r="S190" s="6"/>
      <c r="T190" s="31" t="str">
        <f ca="1">IF(ProductionInventoryTable[[#This Row],[Campaign Name]]="","",NOW())</f>
        <v/>
      </c>
    </row>
    <row r="191" spans="1:20" ht="17.25">
      <c r="A191" s="23"/>
      <c r="B191" s="5"/>
      <c r="C191" s="4"/>
      <c r="D191" s="4"/>
      <c r="E19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1" s="4"/>
      <c r="G191" s="22" t="s">
        <v>118</v>
      </c>
      <c r="H191" s="22" t="s">
        <v>118</v>
      </c>
      <c r="I191" s="22" t="s">
        <v>118</v>
      </c>
      <c r="J191" s="22" t="s">
        <v>118</v>
      </c>
      <c r="K191" s="22" t="s">
        <v>118</v>
      </c>
      <c r="L191" s="22" t="s">
        <v>118</v>
      </c>
      <c r="M191" s="22" t="s">
        <v>118</v>
      </c>
      <c r="N191" s="22" t="s">
        <v>118</v>
      </c>
      <c r="O191" s="4"/>
      <c r="P191" s="4"/>
      <c r="Q191" s="4"/>
      <c r="R191" s="6"/>
      <c r="S191" s="6"/>
      <c r="T191" s="31" t="str">
        <f ca="1">IF(ProductionInventoryTable[[#This Row],[Campaign Name]]="","",NOW())</f>
        <v/>
      </c>
    </row>
    <row r="192" spans="1:20" ht="17.25">
      <c r="A192" s="23"/>
      <c r="B192" s="5"/>
      <c r="C192" s="4"/>
      <c r="D192" s="4"/>
      <c r="E192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2" s="4"/>
      <c r="G192" s="22" t="s">
        <v>118</v>
      </c>
      <c r="H192" s="22" t="s">
        <v>118</v>
      </c>
      <c r="I192" s="22" t="s">
        <v>118</v>
      </c>
      <c r="J192" s="22" t="s">
        <v>118</v>
      </c>
      <c r="K192" s="22" t="s">
        <v>118</v>
      </c>
      <c r="L192" s="22" t="s">
        <v>118</v>
      </c>
      <c r="M192" s="22" t="s">
        <v>118</v>
      </c>
      <c r="N192" s="22" t="s">
        <v>118</v>
      </c>
      <c r="O192" s="4"/>
      <c r="P192" s="4"/>
      <c r="Q192" s="4"/>
      <c r="R192" s="6"/>
      <c r="S192" s="6"/>
      <c r="T192" s="31" t="str">
        <f ca="1">IF(ProductionInventoryTable[[#This Row],[Campaign Name]]="","",NOW())</f>
        <v/>
      </c>
    </row>
    <row r="193" spans="1:20" ht="17.25">
      <c r="A193" s="23"/>
      <c r="B193" s="5"/>
      <c r="C193" s="4"/>
      <c r="D193" s="4"/>
      <c r="E193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3" s="4"/>
      <c r="G193" s="22" t="s">
        <v>118</v>
      </c>
      <c r="H193" s="22" t="s">
        <v>118</v>
      </c>
      <c r="I193" s="22" t="s">
        <v>118</v>
      </c>
      <c r="J193" s="22" t="s">
        <v>118</v>
      </c>
      <c r="K193" s="22" t="s">
        <v>118</v>
      </c>
      <c r="L193" s="22" t="s">
        <v>118</v>
      </c>
      <c r="M193" s="22" t="s">
        <v>118</v>
      </c>
      <c r="N193" s="22" t="s">
        <v>118</v>
      </c>
      <c r="O193" s="4"/>
      <c r="P193" s="4"/>
      <c r="Q193" s="4"/>
      <c r="R193" s="6"/>
      <c r="S193" s="6"/>
      <c r="T193" s="31" t="str">
        <f ca="1">IF(ProductionInventoryTable[[#This Row],[Campaign Name]]="","",NOW())</f>
        <v/>
      </c>
    </row>
    <row r="194" spans="1:20" ht="17.25">
      <c r="A194" s="23"/>
      <c r="B194" s="5"/>
      <c r="C194" s="4"/>
      <c r="D194" s="4"/>
      <c r="E194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4" s="4"/>
      <c r="G194" s="22" t="s">
        <v>118</v>
      </c>
      <c r="H194" s="22" t="s">
        <v>118</v>
      </c>
      <c r="I194" s="22" t="s">
        <v>118</v>
      </c>
      <c r="J194" s="22" t="s">
        <v>118</v>
      </c>
      <c r="K194" s="22" t="s">
        <v>118</v>
      </c>
      <c r="L194" s="22" t="s">
        <v>118</v>
      </c>
      <c r="M194" s="22" t="s">
        <v>118</v>
      </c>
      <c r="N194" s="22" t="s">
        <v>118</v>
      </c>
      <c r="O194" s="4"/>
      <c r="P194" s="4"/>
      <c r="Q194" s="4"/>
      <c r="R194" s="6"/>
      <c r="S194" s="6"/>
      <c r="T194" s="31" t="str">
        <f ca="1">IF(ProductionInventoryTable[[#This Row],[Campaign Name]]="","",NOW())</f>
        <v/>
      </c>
    </row>
    <row r="195" spans="1:20" ht="17.25">
      <c r="A195" s="23"/>
      <c r="B195" s="5"/>
      <c r="C195" s="4"/>
      <c r="D195" s="4"/>
      <c r="E195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5" s="4"/>
      <c r="G195" s="22" t="s">
        <v>118</v>
      </c>
      <c r="H195" s="22" t="s">
        <v>118</v>
      </c>
      <c r="I195" s="22" t="s">
        <v>118</v>
      </c>
      <c r="J195" s="22" t="s">
        <v>118</v>
      </c>
      <c r="K195" s="22" t="s">
        <v>118</v>
      </c>
      <c r="L195" s="22" t="s">
        <v>118</v>
      </c>
      <c r="M195" s="22" t="s">
        <v>118</v>
      </c>
      <c r="N195" s="22" t="s">
        <v>118</v>
      </c>
      <c r="O195" s="4"/>
      <c r="P195" s="4"/>
      <c r="Q195" s="4"/>
      <c r="R195" s="6"/>
      <c r="S195" s="6"/>
      <c r="T195" s="31" t="str">
        <f ca="1">IF(ProductionInventoryTable[[#This Row],[Campaign Name]]="","",NOW())</f>
        <v/>
      </c>
    </row>
    <row r="196" spans="1:20" ht="17.25">
      <c r="A196" s="23"/>
      <c r="B196" s="5"/>
      <c r="C196" s="4"/>
      <c r="D196" s="4"/>
      <c r="E196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6" s="4"/>
      <c r="G196" s="22" t="s">
        <v>118</v>
      </c>
      <c r="H196" s="22" t="s">
        <v>118</v>
      </c>
      <c r="I196" s="22" t="s">
        <v>118</v>
      </c>
      <c r="J196" s="22" t="s">
        <v>118</v>
      </c>
      <c r="K196" s="22" t="s">
        <v>118</v>
      </c>
      <c r="L196" s="22" t="s">
        <v>118</v>
      </c>
      <c r="M196" s="22" t="s">
        <v>118</v>
      </c>
      <c r="N196" s="22" t="s">
        <v>118</v>
      </c>
      <c r="O196" s="4"/>
      <c r="P196" s="4"/>
      <c r="Q196" s="4"/>
      <c r="R196" s="6"/>
      <c r="S196" s="6"/>
      <c r="T196" s="31" t="str">
        <f ca="1">IF(ProductionInventoryTable[[#This Row],[Campaign Name]]="","",NOW())</f>
        <v/>
      </c>
    </row>
    <row r="197" spans="1:20" ht="17.25">
      <c r="A197" s="23"/>
      <c r="B197" s="5"/>
      <c r="C197" s="4"/>
      <c r="D197" s="4"/>
      <c r="E197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7" s="4"/>
      <c r="G197" s="22" t="s">
        <v>118</v>
      </c>
      <c r="H197" s="22" t="s">
        <v>118</v>
      </c>
      <c r="I197" s="22" t="s">
        <v>118</v>
      </c>
      <c r="J197" s="22" t="s">
        <v>118</v>
      </c>
      <c r="K197" s="22" t="s">
        <v>118</v>
      </c>
      <c r="L197" s="22" t="s">
        <v>118</v>
      </c>
      <c r="M197" s="22" t="s">
        <v>118</v>
      </c>
      <c r="N197" s="22" t="s">
        <v>118</v>
      </c>
      <c r="O197" s="4"/>
      <c r="P197" s="4"/>
      <c r="Q197" s="4"/>
      <c r="R197" s="6"/>
      <c r="S197" s="6"/>
      <c r="T197" s="31" t="str">
        <f ca="1">IF(ProductionInventoryTable[[#This Row],[Campaign Name]]="","",NOW())</f>
        <v/>
      </c>
    </row>
    <row r="198" spans="1:20" ht="17.25">
      <c r="A198" s="23"/>
      <c r="B198" s="5"/>
      <c r="C198" s="4"/>
      <c r="D198" s="4"/>
      <c r="E198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8" s="4"/>
      <c r="G198" s="22" t="s">
        <v>118</v>
      </c>
      <c r="H198" s="22" t="s">
        <v>118</v>
      </c>
      <c r="I198" s="22" t="s">
        <v>118</v>
      </c>
      <c r="J198" s="22" t="s">
        <v>118</v>
      </c>
      <c r="K198" s="22" t="s">
        <v>118</v>
      </c>
      <c r="L198" s="22" t="s">
        <v>118</v>
      </c>
      <c r="M198" s="22" t="s">
        <v>118</v>
      </c>
      <c r="N198" s="22" t="s">
        <v>118</v>
      </c>
      <c r="O198" s="4"/>
      <c r="P198" s="4"/>
      <c r="Q198" s="4"/>
      <c r="R198" s="6"/>
      <c r="S198" s="6"/>
      <c r="T198" s="31" t="str">
        <f ca="1">IF(ProductionInventoryTable[[#This Row],[Campaign Name]]="","",NOW())</f>
        <v/>
      </c>
    </row>
    <row r="199" spans="1:20" ht="17.25">
      <c r="A199" s="23"/>
      <c r="B199" s="5"/>
      <c r="C199" s="4"/>
      <c r="D199" s="4"/>
      <c r="E199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199" s="4"/>
      <c r="G199" s="22" t="s">
        <v>118</v>
      </c>
      <c r="H199" s="22" t="s">
        <v>118</v>
      </c>
      <c r="I199" s="22" t="s">
        <v>118</v>
      </c>
      <c r="J199" s="22" t="s">
        <v>118</v>
      </c>
      <c r="K199" s="22" t="s">
        <v>118</v>
      </c>
      <c r="L199" s="22" t="s">
        <v>118</v>
      </c>
      <c r="M199" s="22" t="s">
        <v>118</v>
      </c>
      <c r="N199" s="22" t="s">
        <v>118</v>
      </c>
      <c r="O199" s="4"/>
      <c r="P199" s="4"/>
      <c r="Q199" s="4"/>
      <c r="R199" s="6"/>
      <c r="S199" s="6"/>
      <c r="T199" s="31" t="str">
        <f ca="1">IF(ProductionInventoryTable[[#This Row],[Campaign Name]]="","",NOW())</f>
        <v/>
      </c>
    </row>
    <row r="200" spans="1:20" ht="17.25">
      <c r="A200" s="23"/>
      <c r="B200" s="5"/>
      <c r="C200" s="4"/>
      <c r="D200" s="4"/>
      <c r="E200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00" s="4"/>
      <c r="G200" s="22" t="s">
        <v>118</v>
      </c>
      <c r="H200" s="22" t="s">
        <v>118</v>
      </c>
      <c r="I200" s="22" t="s">
        <v>118</v>
      </c>
      <c r="J200" s="22" t="s">
        <v>118</v>
      </c>
      <c r="K200" s="22" t="s">
        <v>118</v>
      </c>
      <c r="L200" s="22" t="s">
        <v>118</v>
      </c>
      <c r="M200" s="22" t="s">
        <v>118</v>
      </c>
      <c r="N200" s="22" t="s">
        <v>118</v>
      </c>
      <c r="O200" s="4"/>
      <c r="P200" s="4"/>
      <c r="Q200" s="4"/>
      <c r="R200" s="6"/>
      <c r="S200" s="6"/>
      <c r="T200" s="31" t="str">
        <f ca="1">IF(ProductionInventoryTable[[#This Row],[Campaign Name]]="","",NOW())</f>
        <v/>
      </c>
    </row>
    <row r="201" spans="1:20" ht="17.25">
      <c r="A201" s="23"/>
      <c r="B201" s="5"/>
      <c r="C201" s="4"/>
      <c r="D201" s="4"/>
      <c r="E201" s="4" t="str">
        <f>IF(ProductionInventoryTable[[#This Row],[Campaign Name]]="","",IF(AND(ISNUMBER(ProductionInventoryTable[[#This Row],[Delivered]]),ProductionInventoryTable[[#This Row],[Delivered]]&gt;0),"Sent",IF(ProductionInventoryTable[[#This Row],[Campaign Name and UTM Parameter (Source Code)]]&lt;&gt;"☑","Source Code",IF(ProductionInventoryTable[[#This Row],[Creative Brief, SL &amp; PH]]&lt;&gt;"☑","Creative Brief",IF(ProductionInventoryTable[[#This Row],[SKUs]]&lt;&gt;"☑","Waiting for SKUs",IF(ProductionInventoryTable[[#This Row],[In-Design]]&lt;&gt;"☑","With Design",IF(ProductionInventoryTable[[#This Row],[Build, QA]]&lt;&gt;"☑","Build / QA",IF(ProductionInventoryTable[[#This Row],[Route]]&lt;&gt;"☑","Routing",IF(ProductionInventoryTable[[#This Row],[Approval]]&lt;&gt;"☑","Awaiting Approval",IF(ProductionInventoryTable[[#This Row],[Segments]]&lt;&gt;"☑","Segments","Ready to Schedule"))))))))))</f>
        <v/>
      </c>
      <c r="F201" s="4"/>
      <c r="G201" s="22" t="s">
        <v>118</v>
      </c>
      <c r="H201" s="22" t="s">
        <v>118</v>
      </c>
      <c r="I201" s="22" t="s">
        <v>118</v>
      </c>
      <c r="J201" s="22" t="s">
        <v>118</v>
      </c>
      <c r="K201" s="22" t="s">
        <v>118</v>
      </c>
      <c r="L201" s="22" t="s">
        <v>118</v>
      </c>
      <c r="M201" s="22" t="s">
        <v>118</v>
      </c>
      <c r="N201" s="22" t="s">
        <v>118</v>
      </c>
      <c r="O201" s="4"/>
      <c r="P201" s="4"/>
      <c r="Q201" s="4"/>
      <c r="R201" s="6"/>
      <c r="S201" s="6"/>
      <c r="T201" s="31" t="str">
        <f ca="1">IF(ProductionInventoryTable[[#This Row],[Campaign Name]]="","",NOW())</f>
        <v/>
      </c>
    </row>
  </sheetData>
  <conditionalFormatting sqref="A2:F201 O2:T201">
    <cfRule type="expression" dxfId="56" priority="67">
      <formula>#REF!="Critical"</formula>
    </cfRule>
    <cfRule type="expression" dxfId="55" priority="68">
      <formula>#REF!="High Risk"</formula>
    </cfRule>
    <cfRule type="expression" dxfId="54" priority="69">
      <formula>#REF!="At Risk"</formula>
    </cfRule>
    <cfRule type="expression" dxfId="53" priority="70">
      <formula>#REF!="Blocked"</formula>
    </cfRule>
    <cfRule type="expression" dxfId="52" priority="71">
      <formula>#REF!="Ready"</formula>
    </cfRule>
    <cfRule type="expression" dxfId="51" priority="72">
      <formula>#REF!="Complete"</formula>
    </cfRule>
  </conditionalFormatting>
  <conditionalFormatting sqref="G2:G201">
    <cfRule type="cellIs" dxfId="50" priority="89" stopIfTrue="1" operator="equal">
      <formula>"☑"</formula>
    </cfRule>
    <cfRule type="cellIs" dxfId="49" priority="90" stopIfTrue="1" operator="equal">
      <formula>"☐"</formula>
    </cfRule>
  </conditionalFormatting>
  <conditionalFormatting sqref="H2:H201">
    <cfRule type="cellIs" dxfId="48" priority="91" stopIfTrue="1" operator="equal">
      <formula>"☑"</formula>
    </cfRule>
    <cfRule type="cellIs" dxfId="47" priority="92" stopIfTrue="1" operator="equal">
      <formula>"☐"</formula>
    </cfRule>
  </conditionalFormatting>
  <conditionalFormatting sqref="I2:I201">
    <cfRule type="cellIs" dxfId="46" priority="93" stopIfTrue="1" operator="equal">
      <formula>"☑"</formula>
    </cfRule>
    <cfRule type="cellIs" dxfId="45" priority="94" stopIfTrue="1" operator="equal">
      <formula>"☐"</formula>
    </cfRule>
  </conditionalFormatting>
  <conditionalFormatting sqref="J2:J201">
    <cfRule type="cellIs" dxfId="44" priority="95" stopIfTrue="1" operator="equal">
      <formula>"☑"</formula>
    </cfRule>
    <cfRule type="cellIs" dxfId="43" priority="96" stopIfTrue="1" operator="equal">
      <formula>"☐"</formula>
    </cfRule>
  </conditionalFormatting>
  <conditionalFormatting sqref="K2:K201">
    <cfRule type="cellIs" dxfId="42" priority="97" stopIfTrue="1" operator="equal">
      <formula>"☑"</formula>
    </cfRule>
    <cfRule type="cellIs" dxfId="41" priority="98" stopIfTrue="1" operator="equal">
      <formula>"☐"</formula>
    </cfRule>
  </conditionalFormatting>
  <conditionalFormatting sqref="L2:L201">
    <cfRule type="cellIs" dxfId="40" priority="99" stopIfTrue="1" operator="equal">
      <formula>"☑"</formula>
    </cfRule>
    <cfRule type="cellIs" dxfId="39" priority="100" stopIfTrue="1" operator="equal">
      <formula>"☐"</formula>
    </cfRule>
  </conditionalFormatting>
  <conditionalFormatting sqref="M2:M201">
    <cfRule type="cellIs" dxfId="38" priority="101" stopIfTrue="1" operator="equal">
      <formula>"☑"</formula>
    </cfRule>
    <cfRule type="cellIs" dxfId="37" priority="102" stopIfTrue="1" operator="equal">
      <formula>"☐"</formula>
    </cfRule>
  </conditionalFormatting>
  <conditionalFormatting sqref="N2:N201">
    <cfRule type="cellIs" dxfId="36" priority="103" stopIfTrue="1" operator="equal">
      <formula>"☑"</formula>
    </cfRule>
    <cfRule type="cellIs" dxfId="35" priority="104" stopIfTrue="1" operator="equal">
      <formula>"☐"</formula>
    </cfRule>
  </conditionalFormatting>
  <dataValidations count="1">
    <dataValidation type="list" allowBlank="1" showInputMessage="1" showErrorMessage="1" errorTitle="Invalid checklist value" error="Choose a value from the checklist dropdown." promptTitle="Checklist" prompt="Choose unchecked or checked." sqref="G2:N201" xr:uid="{7B20E46C-A2EA-4525-9E7E-29BBE20121A5}">
      <formula1>"☐,☑"</formula1>
    </dataValidation>
  </dataValidations>
  <hyperlinks>
    <hyperlink ref="O8" r:id="rId1" xr:uid="{8F1C11BE-305B-4E5A-BF3C-40D61DEE894A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0000000}">
          <x14:formula1>
            <xm:f>Dropdowns!$A$2:$A$30</xm:f>
          </x14:formula1>
          <xm:sqref>D2:D201</xm:sqref>
        </x14:dataValidation>
        <x14:dataValidation type="list" xr:uid="{00000000-0002-0000-0000-000002000000}">
          <x14:formula1>
            <xm:f>Dropdowns!$E$2:$E$30</xm:f>
          </x14:formula1>
          <xm:sqref>F2:F201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TEXT(DATE(YEAR(TODAY()),1,1),"mmmm yyyy")&amp;" Campaign Calendar"</f>
        <v>January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151</v>
      </c>
      <c r="G3" s="32" t="s">
        <v>152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B6" s="34" t="str" cm="1">
        <f t="array" aca="1" ref="B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C6" s="34" t="str" cm="1">
        <f t="array" aca="1" ref="C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D6" s="34" t="str" cm="1">
        <f t="array" aca="1" ref="D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E6" s="34" t="str" cm="1">
        <f t="array" aca="1" ref="E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</v>
      </c>
      <c r="F6" s="34" t="str" cm="1">
        <f t="array" aca="1" ref="F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</v>
      </c>
      <c r="G6" s="33" t="str" cm="1">
        <f t="array" aca="1" ref="G6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3</v>
      </c>
    </row>
    <row r="7" spans="1:7" ht="87.95" customHeight="1">
      <c r="A7" s="33" t="str" cm="1">
        <f t="array" aca="1" ref="A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4</v>
      </c>
      <c r="B7" s="34" t="str" cm="1">
        <f t="array" aca="1" ref="B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5</v>
      </c>
      <c r="C7" s="34" t="str" cm="1">
        <f t="array" aca="1" ref="C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6</v>
      </c>
      <c r="D7" s="34" t="str" cm="1">
        <f t="array" aca="1" ref="D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7</v>
      </c>
      <c r="E7" s="34" t="str" cm="1">
        <f t="array" aca="1" ref="E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8</v>
      </c>
      <c r="F7" s="34" t="str" cm="1">
        <f t="array" aca="1" ref="F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9</v>
      </c>
      <c r="G7" s="33" t="str" cm="1">
        <f t="array" aca="1" ref="G7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10</v>
      </c>
    </row>
    <row r="8" spans="1:7" ht="87.95" customHeight="1">
      <c r="A8" s="33" t="str" cm="1">
        <f t="array" aca="1" ref="A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11</v>
      </c>
      <c r="B8" s="34" t="str" cm="1">
        <f t="array" aca="1" ref="B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12</v>
      </c>
      <c r="C8" s="34" t="str" cm="1">
        <f t="array" aca="1" ref="C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13</v>
      </c>
      <c r="D8" s="34" t="str" cm="1">
        <f t="array" aca="1" ref="D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14</v>
      </c>
      <c r="E8" s="34" t="str" cm="1">
        <f t="array" aca="1" ref="E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15</v>
      </c>
      <c r="F8" s="34" t="str" cm="1">
        <f t="array" aca="1" ref="F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16</v>
      </c>
      <c r="G8" s="33" t="str" cm="1">
        <f t="array" aca="1" ref="G8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17</v>
      </c>
    </row>
    <row r="9" spans="1:7" ht="87.95" customHeight="1">
      <c r="A9" s="33" t="str" cm="1">
        <f t="array" aca="1" ref="A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18</v>
      </c>
      <c r="B9" s="34" t="str" cm="1">
        <f t="array" aca="1" ref="B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19</v>
      </c>
      <c r="C9" s="34" t="str" cm="1">
        <f t="array" aca="1" ref="C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20</v>
      </c>
      <c r="D9" s="34" t="str" cm="1">
        <f t="array" aca="1" ref="D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21</v>
      </c>
      <c r="E9" s="34" t="str" cm="1">
        <f t="array" aca="1" ref="E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22</v>
      </c>
      <c r="F9" s="34" t="str" cm="1">
        <f t="array" aca="1" ref="F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23</v>
      </c>
      <c r="G9" s="33" t="str" cm="1">
        <f t="array" aca="1" ref="G9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24</v>
      </c>
    </row>
    <row r="10" spans="1:7" ht="87.95" customHeight="1">
      <c r="A10" s="33" t="str" cm="1">
        <f t="array" aca="1" ref="A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25</v>
      </c>
      <c r="B10" s="34" t="str" cm="1">
        <f t="array" aca="1" ref="B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26</v>
      </c>
      <c r="C10" s="34" t="str" cm="1">
        <f t="array" aca="1" ref="C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27</v>
      </c>
      <c r="D10" s="34" t="str" cm="1">
        <f t="array" aca="1" ref="D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28</v>
      </c>
      <c r="E10" s="34" t="str" cm="1">
        <f t="array" aca="1" ref="E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29</v>
      </c>
      <c r="F10" s="34" t="str" cm="1">
        <f t="array" aca="1" ref="F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30</v>
      </c>
      <c r="G10" s="33" t="str" cm="1">
        <f t="array" aca="1" ref="G10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>31</v>
      </c>
    </row>
    <row r="11" spans="1:7" ht="87.95" customHeight="1">
      <c r="A11" s="33" t="str" cm="1">
        <f t="array" aca="1" ref="A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B11" s="34" t="str" cm="1">
        <f t="array" aca="1" ref="B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C11" s="34" t="str" cm="1">
        <f t="array" aca="1" ref="C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D11" s="34" t="str" cm="1">
        <f t="array" aca="1" ref="D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E11" s="34" t="str" cm="1">
        <f t="array" aca="1" ref="E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F11" s="34" t="str" cm="1">
        <f t="array" aca="1" ref="F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  <c r="G11" s="33" t="str" cm="1">
        <f t="array" aca="1" ref="G11" ca="1">_xlfn.LET(_xlpm.first,DATE(YEAR(TODAY()),1,1),_xlpm.d,_xlpm.first-WEEKDAY(_xlpm.first,1)+1+(ROW()-6)*7+COLUMN()-1,_xlpm.items,_xlfn.TEXTJOIN(CHAR(10)&amp;"• ",TRUE,_xlfn._xlws.FILTER(ProductionInventoryTable[Campaign Name],IFERROR(INT(ProductionInventoryTable[Send Date]),0)=_xlpm.d,"")),IF(MONTH(_xlpm.d)&lt;&gt;1,"",DAY(_xlpm.d)&amp;IF(_xlpm.items="","",CHAR(10)&amp;"•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23" priority="1" stopIfTrue="1">
      <formula>ISNUMBER(SEARCH(CHAR(10),A6))</formula>
    </cfRule>
    <cfRule type="expression" dxfId="22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F3482B18-62BB-4B47-AF71-43ACD236387C}"/>
    <hyperlink ref="B3" location="'Production Inventory'!A1" display="Production Inventory" xr:uid="{E2A93AE3-EA5E-43FB-8277-C1CCA5527EAB}"/>
    <hyperlink ref="F3" location="'December Calendar'!A1" display="&lt; December" xr:uid="{41743951-993E-4BC9-A101-E32B571DCB33}"/>
    <hyperlink ref="G3" location="'February Calendar'!A1" display="February &gt;" xr:uid="{6B09F5E1-1EE7-4E92-9D44-1AB12689AA69}"/>
  </hyperlink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TEXT(DATE(YEAR(TODAY()),2,1),"mmmm yyyy")&amp;" Campaign Calendar"</f>
        <v>February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162</v>
      </c>
      <c r="G3" s="32" t="s">
        <v>163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</v>
      </c>
      <c r="B6" s="34" t="str" cm="1">
        <f t="array" aca="1" ref="B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</v>
      </c>
      <c r="C6" s="34" t="str" cm="1">
        <f t="array" aca="1" ref="C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3</v>
      </c>
      <c r="D6" s="34" t="str" cm="1">
        <f t="array" aca="1" ref="D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4</v>
      </c>
      <c r="E6" s="34" t="str" cm="1">
        <f t="array" aca="1" ref="E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5</v>
      </c>
      <c r="F6" s="34" t="str" cm="1">
        <f t="array" aca="1" ref="F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6</v>
      </c>
      <c r="G6" s="33" t="str" cm="1">
        <f t="array" aca="1" ref="G6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7</v>
      </c>
    </row>
    <row r="7" spans="1:7" ht="87.95" customHeight="1">
      <c r="A7" s="33" t="str" cm="1">
        <f t="array" aca="1" ref="A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8</v>
      </c>
      <c r="B7" s="34" t="str" cm="1">
        <f t="array" aca="1" ref="B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9</v>
      </c>
      <c r="C7" s="34" t="str" cm="1">
        <f t="array" aca="1" ref="C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10</v>
      </c>
      <c r="D7" s="34" t="str" cm="1">
        <f t="array" aca="1" ref="D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11</v>
      </c>
      <c r="E7" s="34" t="str" cm="1">
        <f t="array" aca="1" ref="E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12</v>
      </c>
      <c r="F7" s="34" t="str" cm="1">
        <f t="array" aca="1" ref="F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13</v>
      </c>
      <c r="G7" s="33" t="str" cm="1">
        <f t="array" aca="1" ref="G7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14</v>
      </c>
    </row>
    <row r="8" spans="1:7" ht="87.95" customHeight="1">
      <c r="A8" s="33" t="str" cm="1">
        <f t="array" aca="1" ref="A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15</v>
      </c>
      <c r="B8" s="34" t="str" cm="1">
        <f t="array" aca="1" ref="B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16</v>
      </c>
      <c r="C8" s="34" t="str" cm="1">
        <f t="array" aca="1" ref="C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17</v>
      </c>
      <c r="D8" s="34" t="str" cm="1">
        <f t="array" aca="1" ref="D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18</v>
      </c>
      <c r="E8" s="34" t="str" cm="1">
        <f t="array" aca="1" ref="E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19</v>
      </c>
      <c r="F8" s="34" t="str" cm="1">
        <f t="array" aca="1" ref="F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20</v>
      </c>
      <c r="G8" s="33" t="str" cm="1">
        <f t="array" aca="1" ref="G8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21</v>
      </c>
    </row>
    <row r="9" spans="1:7" ht="87.95" customHeight="1">
      <c r="A9" s="33" t="str" cm="1">
        <f t="array" aca="1" ref="A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22</v>
      </c>
      <c r="B9" s="34" t="str" cm="1">
        <f t="array" aca="1" ref="B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23</v>
      </c>
      <c r="C9" s="34" t="str" cm="1">
        <f t="array" aca="1" ref="C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24</v>
      </c>
      <c r="D9" s="34" t="str" cm="1">
        <f t="array" aca="1" ref="D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25</v>
      </c>
      <c r="E9" s="34" t="str" cm="1">
        <f t="array" aca="1" ref="E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26</v>
      </c>
      <c r="F9" s="34" t="str" cm="1">
        <f t="array" aca="1" ref="F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27</v>
      </c>
      <c r="G9" s="33" t="str" cm="1">
        <f t="array" aca="1" ref="G9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>28</v>
      </c>
    </row>
    <row r="10" spans="1:7" ht="87.95" customHeight="1">
      <c r="A10" s="33" t="str" cm="1">
        <f t="array" aca="1" ref="A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B10" s="34" t="str" cm="1">
        <f t="array" aca="1" ref="B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C10" s="34" t="str" cm="1">
        <f t="array" aca="1" ref="C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D10" s="34" t="str" cm="1">
        <f t="array" aca="1" ref="D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E10" s="34" t="str" cm="1">
        <f t="array" aca="1" ref="E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F10" s="34" t="str" cm="1">
        <f t="array" aca="1" ref="F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G10" s="33" t="str" cm="1">
        <f t="array" aca="1" ref="G10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B11" s="34" t="str" cm="1">
        <f t="array" aca="1" ref="B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C11" s="34" t="str" cm="1">
        <f t="array" aca="1" ref="C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D11" s="34" t="str" cm="1">
        <f t="array" aca="1" ref="D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E11" s="34" t="str" cm="1">
        <f t="array" aca="1" ref="E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F11" s="34" t="str" cm="1">
        <f t="array" aca="1" ref="F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  <c r="G11" s="33" t="str" cm="1">
        <f t="array" aca="1" ref="G11" ca="1">_xlfn.LET(_xlpm.first,DATE(YEAR(TODAY()),2,1),_xlpm.d,_xlpm.first-WEEKDAY(_xlpm.first,1)+1+(ROW()-6)*7+COLUMN()-1,_xlpm.items,_xlfn.TEXTJOIN(CHAR(10)&amp;"• ",TRUE,_xlfn._xlws.FILTER(ProductionInventoryTable[Campaign Name],IFERROR(INT(ProductionInventoryTable[Send Date]),0)=_xlpm.d,"")),IF(MONTH(_xlpm.d)&lt;&gt;2,"",DAY(_xlpm.d)&amp;IF(_xlpm.items="","",CHAR(10)&amp;"•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21" priority="1" stopIfTrue="1">
      <formula>ISNUMBER(SEARCH(CHAR(10),A6))</formula>
    </cfRule>
    <cfRule type="expression" dxfId="20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6FC8B429-F6FC-42D1-9612-BBB0B3C0F9C0}"/>
    <hyperlink ref="B3" location="'Production Inventory'!A1" display="Production Inventory" xr:uid="{5FD65D5A-2C57-4DF8-B2D1-F23558DD7AB8}"/>
    <hyperlink ref="F3" location="'January Calendar'!A1" display="&lt; January" xr:uid="{0BF36756-177C-4FB8-ACDD-70903E9C51C0}"/>
    <hyperlink ref="G3" location="'March Calendar'!A1" display="March &gt;" xr:uid="{62CE5347-2B0B-473C-A468-A81692B8D6B4}"/>
  </hyperlinks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TEXT(DATE(YEAR(TODAY()),3,1),"mmmm yyyy")&amp;" Campaign Calendar"</f>
        <v>March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164</v>
      </c>
      <c r="G3" s="32" t="s">
        <v>165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</v>
      </c>
      <c r="B6" s="34" t="str" cm="1">
        <f t="array" aca="1" ref="B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</v>
      </c>
      <c r="C6" s="34" t="str" cm="1">
        <f t="array" aca="1" ref="C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3</v>
      </c>
      <c r="D6" s="34" t="str" cm="1">
        <f t="array" aca="1" ref="D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4</v>
      </c>
      <c r="E6" s="34" t="str" cm="1">
        <f t="array" aca="1" ref="E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5</v>
      </c>
      <c r="F6" s="34" t="str" cm="1">
        <f t="array" aca="1" ref="F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6</v>
      </c>
      <c r="G6" s="33" t="str" cm="1">
        <f t="array" aca="1" ref="G6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7</v>
      </c>
    </row>
    <row r="7" spans="1:7" ht="87.95" customHeight="1">
      <c r="A7" s="33" t="str" cm="1">
        <f t="array" aca="1" ref="A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8</v>
      </c>
      <c r="B7" s="34" t="str" cm="1">
        <f t="array" aca="1" ref="B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9</v>
      </c>
      <c r="C7" s="34" t="str" cm="1">
        <f t="array" aca="1" ref="C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10</v>
      </c>
      <c r="D7" s="34" t="str" cm="1">
        <f t="array" aca="1" ref="D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11</v>
      </c>
      <c r="E7" s="34" t="str" cm="1">
        <f t="array" aca="1" ref="E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12</v>
      </c>
      <c r="F7" s="34" t="str" cm="1">
        <f t="array" aca="1" ref="F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13</v>
      </c>
      <c r="G7" s="33" t="str" cm="1">
        <f t="array" aca="1" ref="G7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14</v>
      </c>
    </row>
    <row r="8" spans="1:7" ht="87.95" customHeight="1">
      <c r="A8" s="33" t="str" cm="1">
        <f t="array" aca="1" ref="A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15</v>
      </c>
      <c r="B8" s="34" t="str" cm="1">
        <f t="array" aca="1" ref="B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16</v>
      </c>
      <c r="C8" s="34" t="str" cm="1">
        <f t="array" aca="1" ref="C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17</v>
      </c>
      <c r="D8" s="34" t="str" cm="1">
        <f t="array" aca="1" ref="D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18</v>
      </c>
      <c r="E8" s="34" t="str" cm="1">
        <f t="array" aca="1" ref="E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19</v>
      </c>
      <c r="F8" s="34" t="str" cm="1">
        <f t="array" aca="1" ref="F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20</v>
      </c>
      <c r="G8" s="33" t="str" cm="1">
        <f t="array" aca="1" ref="G8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21</v>
      </c>
    </row>
    <row r="9" spans="1:7" ht="87.95" customHeight="1">
      <c r="A9" s="33" t="str" cm="1">
        <f t="array" aca="1" ref="A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22</v>
      </c>
      <c r="B9" s="34" t="str" cm="1">
        <f t="array" aca="1" ref="B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23</v>
      </c>
      <c r="C9" s="34" t="str" cm="1">
        <f t="array" aca="1" ref="C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24</v>
      </c>
      <c r="D9" s="34" t="str" cm="1">
        <f t="array" aca="1" ref="D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25</v>
      </c>
      <c r="E9" s="34" t="str" cm="1">
        <f t="array" aca="1" ref="E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26</v>
      </c>
      <c r="F9" s="34" t="str" cm="1">
        <f t="array" aca="1" ref="F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27</v>
      </c>
      <c r="G9" s="33" t="str" cm="1">
        <f t="array" aca="1" ref="G9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28</v>
      </c>
    </row>
    <row r="10" spans="1:7" ht="87.95" customHeight="1">
      <c r="A10" s="33" t="str" cm="1">
        <f t="array" aca="1" ref="A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29</v>
      </c>
      <c r="B10" s="34" t="str" cm="1">
        <f t="array" aca="1" ref="B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30</v>
      </c>
      <c r="C10" s="34" t="str" cm="1">
        <f t="array" aca="1" ref="C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>31</v>
      </c>
      <c r="D10" s="34" t="str" cm="1">
        <f t="array" aca="1" ref="D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E10" s="34" t="str" cm="1">
        <f t="array" aca="1" ref="E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F10" s="34" t="str" cm="1">
        <f t="array" aca="1" ref="F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G10" s="33" t="str" cm="1">
        <f t="array" aca="1" ref="G10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B11" s="34" t="str" cm="1">
        <f t="array" aca="1" ref="B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C11" s="34" t="str" cm="1">
        <f t="array" aca="1" ref="C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D11" s="34" t="str" cm="1">
        <f t="array" aca="1" ref="D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E11" s="34" t="str" cm="1">
        <f t="array" aca="1" ref="E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F11" s="34" t="str" cm="1">
        <f t="array" aca="1" ref="F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  <c r="G11" s="33" t="str" cm="1">
        <f t="array" aca="1" ref="G11" ca="1">_xlfn.LET(_xlpm.first,DATE(YEAR(TODAY()),3,1),_xlpm.d,_xlpm.first-WEEKDAY(_xlpm.first,1)+1+(ROW()-6)*7+COLUMN()-1,_xlpm.items,_xlfn.TEXTJOIN(CHAR(10)&amp;"• ",TRUE,_xlfn._xlws.FILTER(ProductionInventoryTable[Campaign Name],IFERROR(INT(ProductionInventoryTable[Send Date]),0)=_xlpm.d,"")),IF(MONTH(_xlpm.d)&lt;&gt;3,"",DAY(_xlpm.d)&amp;IF(_xlpm.items="","",CHAR(10)&amp;"•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9" priority="1" stopIfTrue="1">
      <formula>ISNUMBER(SEARCH(CHAR(10),A6))</formula>
    </cfRule>
    <cfRule type="expression" dxfId="18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1D9F229F-EC82-4342-B6BD-29FD7339BEBA}"/>
    <hyperlink ref="B3" location="'Production Inventory'!A1" display="Production Inventory" xr:uid="{B6531EE8-3B51-4882-B8BD-9CE3F7697977}"/>
    <hyperlink ref="F3" location="'February Calendar'!A1" display="&lt; February" xr:uid="{89CC9141-93FB-463C-A890-02D4DE5AEB29}"/>
    <hyperlink ref="G3" location="'April Calendar'!A1" display="April &gt;" xr:uid="{0EC10DEA-7739-4AE3-8F7F-09669BE894D4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TEXT(DATE(YEAR(TODAY()),4,1),"mmmm yyyy")&amp;" Campaign Calendar"</f>
        <v>April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166</v>
      </c>
      <c r="G3" s="32" t="s">
        <v>167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B6" s="34" t="str" cm="1">
        <f t="array" aca="1" ref="B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C6" s="34" t="str" cm="1">
        <f t="array" aca="1" ref="C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D6" s="34" t="str" cm="1">
        <f t="array" aca="1" ref="D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</v>
      </c>
      <c r="E6" s="34" t="str" cm="1">
        <f t="array" aca="1" ref="E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</v>
      </c>
      <c r="F6" s="34" t="str" cm="1">
        <f t="array" aca="1" ref="F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3</v>
      </c>
      <c r="G6" s="33" t="str" cm="1">
        <f t="array" aca="1" ref="G6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4</v>
      </c>
    </row>
    <row r="7" spans="1:7" ht="87.95" customHeight="1">
      <c r="A7" s="33" t="str" cm="1">
        <f t="array" aca="1" ref="A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5</v>
      </c>
      <c r="B7" s="34" t="str" cm="1">
        <f t="array" aca="1" ref="B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6</v>
      </c>
      <c r="C7" s="34" t="str" cm="1">
        <f t="array" aca="1" ref="C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7</v>
      </c>
      <c r="D7" s="34" t="str" cm="1">
        <f t="array" aca="1" ref="D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8</v>
      </c>
      <c r="E7" s="34" t="str" cm="1">
        <f t="array" aca="1" ref="E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9</v>
      </c>
      <c r="F7" s="34" t="str" cm="1">
        <f t="array" aca="1" ref="F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10</v>
      </c>
      <c r="G7" s="33" t="str" cm="1">
        <f t="array" aca="1" ref="G7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11</v>
      </c>
    </row>
    <row r="8" spans="1:7" ht="87.95" customHeight="1">
      <c r="A8" s="33" t="str" cm="1">
        <f t="array" aca="1" ref="A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12</v>
      </c>
      <c r="B8" s="34" t="str" cm="1">
        <f t="array" aca="1" ref="B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13</v>
      </c>
      <c r="C8" s="34" t="str" cm="1">
        <f t="array" aca="1" ref="C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14</v>
      </c>
      <c r="D8" s="34" t="str" cm="1">
        <f t="array" aca="1" ref="D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15</v>
      </c>
      <c r="E8" s="34" t="str" cm="1">
        <f t="array" aca="1" ref="E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16</v>
      </c>
      <c r="F8" s="34" t="str" cm="1">
        <f t="array" aca="1" ref="F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17</v>
      </c>
      <c r="G8" s="33" t="str" cm="1">
        <f t="array" aca="1" ref="G8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18</v>
      </c>
    </row>
    <row r="9" spans="1:7" ht="87.95" customHeight="1">
      <c r="A9" s="33" t="str" cm="1">
        <f t="array" aca="1" ref="A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19</v>
      </c>
      <c r="B9" s="34" t="str" cm="1">
        <f t="array" aca="1" ref="B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20</v>
      </c>
      <c r="C9" s="34" t="str" cm="1">
        <f t="array" aca="1" ref="C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21</v>
      </c>
      <c r="D9" s="34" t="str" cm="1">
        <f t="array" aca="1" ref="D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22</v>
      </c>
      <c r="E9" s="34" t="str" cm="1">
        <f t="array" aca="1" ref="E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23</v>
      </c>
      <c r="F9" s="34" t="str" cm="1">
        <f t="array" aca="1" ref="F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24</v>
      </c>
      <c r="G9" s="33" t="str" cm="1">
        <f t="array" aca="1" ref="G9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25</v>
      </c>
    </row>
    <row r="10" spans="1:7" ht="87.95" customHeight="1">
      <c r="A10" s="33" t="str" cm="1">
        <f t="array" aca="1" ref="A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26</v>
      </c>
      <c r="B10" s="34" t="str" cm="1">
        <f t="array" aca="1" ref="B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27</v>
      </c>
      <c r="C10" s="34" t="str" cm="1">
        <f t="array" aca="1" ref="C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28</v>
      </c>
      <c r="D10" s="34" t="str" cm="1">
        <f t="array" aca="1" ref="D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29</v>
      </c>
      <c r="E10" s="34" t="str" cm="1">
        <f t="array" aca="1" ref="E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>30</v>
      </c>
      <c r="F10" s="34" t="str" cm="1">
        <f t="array" aca="1" ref="F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G10" s="33" t="str" cm="1">
        <f t="array" aca="1" ref="G10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B11" s="34" t="str" cm="1">
        <f t="array" aca="1" ref="B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C11" s="34" t="str" cm="1">
        <f t="array" aca="1" ref="C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D11" s="34" t="str" cm="1">
        <f t="array" aca="1" ref="D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E11" s="34" t="str" cm="1">
        <f t="array" aca="1" ref="E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F11" s="34" t="str" cm="1">
        <f t="array" aca="1" ref="F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  <c r="G11" s="33" t="str" cm="1">
        <f t="array" aca="1" ref="G11" ca="1">_xlfn.LET(_xlpm.first,DATE(YEAR(TODAY()),4,1),_xlpm.d,_xlpm.first-WEEKDAY(_xlpm.first,1)+1+(ROW()-6)*7+COLUMN()-1,_xlpm.items,_xlfn.TEXTJOIN(CHAR(10)&amp;"• ",TRUE,_xlfn._xlws.FILTER(ProductionInventoryTable[Campaign Name],IFERROR(INT(ProductionInventoryTable[Send Date]),0)=_xlpm.d,"")),IF(MONTH(_xlpm.d)&lt;&gt;4,"",DAY(_xlpm.d)&amp;IF(_xlpm.items="","",CHAR(10)&amp;"•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7" priority="1" stopIfTrue="1">
      <formula>ISNUMBER(SEARCH(CHAR(10),A6))</formula>
    </cfRule>
    <cfRule type="expression" dxfId="16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86AED95-96FE-48E6-99FB-45DC8BD927A2}"/>
    <hyperlink ref="B3" location="'Production Inventory'!A1" display="Production Inventory" xr:uid="{C78DD99B-7B82-403C-811B-4B2DED121535}"/>
    <hyperlink ref="F3" location="'March Calendar'!A1" display="&lt; March" xr:uid="{9CFDE0E8-04D0-4D96-957E-4E77D7126398}"/>
    <hyperlink ref="G3" location="'May Calendar'!A1" display="May &gt;" xr:uid="{628D17A1-67F3-424E-91CB-6E12B91E8542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TEXT(DATE(YEAR(TODAY()),5,1),"mmmm yyyy")&amp;" Campaign Calendar"</f>
        <v>May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168</v>
      </c>
      <c r="G3" s="32" t="s">
        <v>169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B6" s="34" t="str" cm="1">
        <f t="array" aca="1" ref="B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C6" s="34" t="str" cm="1">
        <f t="array" aca="1" ref="C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D6" s="34" t="str" cm="1">
        <f t="array" aca="1" ref="D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E6" s="34" t="str" cm="1">
        <f t="array" aca="1" ref="E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F6" s="34" t="str" cm="1">
        <f t="array" aca="1" ref="F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</v>
      </c>
      <c r="G6" s="33" t="str" cm="1">
        <f t="array" aca="1" ref="G6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</v>
      </c>
    </row>
    <row r="7" spans="1:7" ht="87.95" customHeight="1">
      <c r="A7" s="33" t="str" cm="1">
        <f t="array" aca="1" ref="A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3</v>
      </c>
      <c r="B7" s="34" t="str" cm="1">
        <f t="array" aca="1" ref="B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4</v>
      </c>
      <c r="C7" s="34" t="str" cm="1">
        <f t="array" aca="1" ref="C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5</v>
      </c>
      <c r="D7" s="34" t="str" cm="1">
        <f t="array" aca="1" ref="D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6</v>
      </c>
      <c r="E7" s="34" t="str" cm="1">
        <f t="array" aca="1" ref="E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7</v>
      </c>
      <c r="F7" s="34" t="str" cm="1">
        <f t="array" aca="1" ref="F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8</v>
      </c>
      <c r="G7" s="33" t="str" cm="1">
        <f t="array" aca="1" ref="G7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9</v>
      </c>
    </row>
    <row r="8" spans="1:7" ht="87.95" customHeight="1">
      <c r="A8" s="33" t="str" cm="1">
        <f t="array" aca="1" ref="A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10</v>
      </c>
      <c r="B8" s="34" t="str" cm="1">
        <f t="array" aca="1" ref="B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11</v>
      </c>
      <c r="C8" s="34" t="str" cm="1">
        <f t="array" aca="1" ref="C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12</v>
      </c>
      <c r="D8" s="34" t="str" cm="1">
        <f t="array" aca="1" ref="D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13</v>
      </c>
      <c r="E8" s="34" t="str" cm="1">
        <f t="array" aca="1" ref="E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14</v>
      </c>
      <c r="F8" s="34" t="str" cm="1">
        <f t="array" aca="1" ref="F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15</v>
      </c>
      <c r="G8" s="33" t="str" cm="1">
        <f t="array" aca="1" ref="G8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16</v>
      </c>
    </row>
    <row r="9" spans="1:7" ht="87.95" customHeight="1">
      <c r="A9" s="33" t="str" cm="1">
        <f t="array" aca="1" ref="A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17</v>
      </c>
      <c r="B9" s="34" t="str" cm="1">
        <f t="array" aca="1" ref="B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18</v>
      </c>
      <c r="C9" s="34" t="str" cm="1">
        <f t="array" aca="1" ref="C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19</v>
      </c>
      <c r="D9" s="34" t="str" cm="1">
        <f t="array" aca="1" ref="D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20</v>
      </c>
      <c r="E9" s="34" t="str" cm="1">
        <f t="array" aca="1" ref="E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21</v>
      </c>
      <c r="F9" s="34" t="str" cm="1">
        <f t="array" aca="1" ref="F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22</v>
      </c>
      <c r="G9" s="33" t="str" cm="1">
        <f t="array" aca="1" ref="G9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23</v>
      </c>
    </row>
    <row r="10" spans="1:7" ht="87.95" customHeight="1">
      <c r="A10" s="33" t="str" cm="1">
        <f t="array" aca="1" ref="A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24</v>
      </c>
      <c r="B10" s="34" t="str" cm="1">
        <f t="array" aca="1" ref="B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25</v>
      </c>
      <c r="C10" s="34" t="str" cm="1">
        <f t="array" aca="1" ref="C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26</v>
      </c>
      <c r="D10" s="34" t="str" cm="1">
        <f t="array" aca="1" ref="D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27</v>
      </c>
      <c r="E10" s="34" t="str" cm="1">
        <f t="array" aca="1" ref="E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28</v>
      </c>
      <c r="F10" s="34" t="str" cm="1">
        <f t="array" aca="1" ref="F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29</v>
      </c>
      <c r="G10" s="33" t="str" cm="1">
        <f t="array" aca="1" ref="G10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30</v>
      </c>
    </row>
    <row r="11" spans="1:7" ht="87.95" customHeight="1">
      <c r="A11" s="33" t="str" cm="1">
        <f t="array" aca="1" ref="A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>31</v>
      </c>
      <c r="B11" s="34" t="str" cm="1">
        <f t="array" aca="1" ref="B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C11" s="34" t="str" cm="1">
        <f t="array" aca="1" ref="C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D11" s="34" t="str" cm="1">
        <f t="array" aca="1" ref="D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E11" s="34" t="str" cm="1">
        <f t="array" aca="1" ref="E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F11" s="34" t="str" cm="1">
        <f t="array" aca="1" ref="F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  <c r="G11" s="33" t="str" cm="1">
        <f t="array" aca="1" ref="G11" ca="1">_xlfn.LET(_xlpm.first,DATE(YEAR(TODAY()),5,1),_xlpm.d,_xlpm.first-WEEKDAY(_xlpm.first,1)+1+(ROW()-6)*7+COLUMN()-1,_xlpm.items,_xlfn.TEXTJOIN(CHAR(10)&amp;"• ",TRUE,_xlfn._xlws.FILTER(ProductionInventoryTable[Campaign Name],IFERROR(INT(ProductionInventoryTable[Send Date]),0)=_xlpm.d,"")),IF(MONTH(_xlpm.d)&lt;&gt;5,"",DAY(_xlpm.d)&amp;IF(_xlpm.items="","",CHAR(10)&amp;"•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5" priority="1" stopIfTrue="1">
      <formula>ISNUMBER(SEARCH(CHAR(10),A6))</formula>
    </cfRule>
    <cfRule type="expression" dxfId="14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38BEC495-BDAB-47A4-8AC8-BE73F6A20079}"/>
    <hyperlink ref="B3" location="'Production Inventory'!A1" display="Production Inventory" xr:uid="{0C2EE296-412A-4371-94A0-A32E836827D4}"/>
    <hyperlink ref="F3" location="'April Calendar'!A1" display="&lt; April" xr:uid="{FC553683-1445-469C-AEB4-11B7BDC6954D}"/>
    <hyperlink ref="G3" location="'June Calendar'!A1" display="June &gt;" xr:uid="{FC4F434E-5D21-4147-87F8-514C0004099A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EB9C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TEXT(DATE(YEAR(TODAY()),6,1),"mmmm yyyy")&amp;" Campaign Calendar"</f>
        <v>June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170</v>
      </c>
      <c r="G3" s="32" t="s">
        <v>171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B6" s="34" t="str" cm="1">
        <f t="array" aca="1" ref="B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</v>
      </c>
      <c r="C6" s="34" t="str" cm="1">
        <f t="array" aca="1" ref="C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</v>
      </c>
      <c r="D6" s="34" t="str" cm="1">
        <f t="array" aca="1" ref="D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3</v>
      </c>
      <c r="E6" s="34" t="str" cm="1">
        <f t="array" aca="1" ref="E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4</v>
      </c>
      <c r="F6" s="34" t="str" cm="1">
        <f t="array" aca="1" ref="F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5
• Sample | Sent Campaign</v>
      </c>
      <c r="G6" s="33" t="str" cm="1">
        <f t="array" aca="1" ref="G6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6
• Sample | Eco Gear Promo</v>
      </c>
    </row>
    <row r="7" spans="1:7" ht="87.95" customHeight="1">
      <c r="A7" s="33" t="str" cm="1">
        <f t="array" aca="1" ref="A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7
• Sample | Weekly Newsletter</v>
      </c>
      <c r="B7" s="34" t="str" cm="1">
        <f t="array" aca="1" ref="B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8
• Sample | Brand Spotlight</v>
      </c>
      <c r="C7" s="34" t="str" cm="1">
        <f t="array" aca="1" ref="C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9</v>
      </c>
      <c r="D7" s="34" t="str" cm="1">
        <f t="array" aca="1" ref="D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10</v>
      </c>
      <c r="E7" s="34" t="str" cm="1">
        <f t="array" aca="1" ref="E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11
• Sample | VIP Offer
• Sample | VIP Offer</v>
      </c>
      <c r="F7" s="34" t="str" cm="1">
        <f t="array" aca="1" ref="F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12
• 060926-08AM-Dive Wear Best Sellers Resend</v>
      </c>
      <c r="G7" s="33" t="str" cm="1">
        <f t="array" aca="1" ref="G7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13</v>
      </c>
    </row>
    <row r="8" spans="1:7" ht="87.95" customHeight="1">
      <c r="A8" s="33" t="str" cm="1">
        <f t="array" aca="1" ref="A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14</v>
      </c>
      <c r="B8" s="34" t="str" cm="1">
        <f t="array" aca="1" ref="B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15</v>
      </c>
      <c r="C8" s="34" t="str" cm="1">
        <f t="array" aca="1" ref="C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16</v>
      </c>
      <c r="D8" s="34" t="str" cm="1">
        <f t="array" aca="1" ref="D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17</v>
      </c>
      <c r="E8" s="34" t="str" cm="1">
        <f t="array" aca="1" ref="E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18</v>
      </c>
      <c r="F8" s="34" t="str" cm="1">
        <f t="array" aca="1" ref="F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19</v>
      </c>
      <c r="G8" s="33" t="str" cm="1">
        <f t="array" aca="1" ref="G8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20</v>
      </c>
    </row>
    <row r="9" spans="1:7" ht="87.95" customHeight="1">
      <c r="A9" s="33" t="str" cm="1">
        <f t="array" aca="1" ref="A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21</v>
      </c>
      <c r="B9" s="34" t="str" cm="1">
        <f t="array" aca="1" ref="B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22</v>
      </c>
      <c r="C9" s="34" t="str" cm="1">
        <f t="array" aca="1" ref="C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23</v>
      </c>
      <c r="D9" s="34" t="str" cm="1">
        <f t="array" aca="1" ref="D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24</v>
      </c>
      <c r="E9" s="34" t="str" cm="1">
        <f t="array" aca="1" ref="E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25</v>
      </c>
      <c r="F9" s="34" t="str" cm="1">
        <f t="array" aca="1" ref="F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26</v>
      </c>
      <c r="G9" s="33" t="str" cm="1">
        <f t="array" aca="1" ref="G9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27</v>
      </c>
    </row>
    <row r="10" spans="1:7" ht="87.95" customHeight="1">
      <c r="A10" s="33" t="str" cm="1">
        <f t="array" aca="1" ref="A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28</v>
      </c>
      <c r="B10" s="34" t="str" cm="1">
        <f t="array" aca="1" ref="B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29</v>
      </c>
      <c r="C10" s="34" t="str" cm="1">
        <f t="array" aca="1" ref="C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>30</v>
      </c>
      <c r="D10" s="34" t="str" cm="1">
        <f t="array" aca="1" ref="D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E10" s="34" t="str" cm="1">
        <f t="array" aca="1" ref="E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F10" s="34" t="str" cm="1">
        <f t="array" aca="1" ref="F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G10" s="33" t="str" cm="1">
        <f t="array" aca="1" ref="G10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B11" s="34" t="str" cm="1">
        <f t="array" aca="1" ref="B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C11" s="34" t="str" cm="1">
        <f t="array" aca="1" ref="C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D11" s="34" t="str" cm="1">
        <f t="array" aca="1" ref="D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E11" s="34" t="str" cm="1">
        <f t="array" aca="1" ref="E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F11" s="34" t="str" cm="1">
        <f t="array" aca="1" ref="F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  <c r="G11" s="33" t="str" cm="1">
        <f t="array" aca="1" ref="G11" ca="1">_xlfn.LET(_xlpm.first,DATE(YEAR(TODAY()),6,1),_xlpm.d,_xlpm.first-WEEKDAY(_xlpm.first,1)+1+(ROW()-6)*7+COLUMN()-1,_xlpm.items,_xlfn.TEXTJOIN(CHAR(10)&amp;"• ",TRUE,_xlfn._xlws.FILTER(ProductionInventoryTable[Campaign Name],IFERROR(INT(ProductionInventoryTable[Send Date]),0)=_xlpm.d,"")),IF(MONTH(_xlpm.d)&lt;&gt;6,"",DAY(_xlpm.d)&amp;IF(_xlpm.items="","",CHAR(10)&amp;"•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3" priority="1" stopIfTrue="1">
      <formula>ISNUMBER(SEARCH(CHAR(10),A6))</formula>
    </cfRule>
    <cfRule type="expression" dxfId="12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CB61EAC5-F496-4597-8BA8-B6F6FAFC1080}"/>
    <hyperlink ref="B3" location="'Production Inventory'!A1" display="Production Inventory" xr:uid="{8AECEF38-59AA-40E2-96D1-F978200F68DD}"/>
    <hyperlink ref="F3" location="'May Calendar'!A1" display="&lt; May" xr:uid="{6D0144BE-032B-44B5-A773-2438ADADD172}"/>
    <hyperlink ref="G3" location="'July Calendar'!A1" display="July &gt;" xr:uid="{96092B58-7F46-4746-9F99-5F6FE5A1AFA7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TEXT(DATE(YEAR(TODAY()),7,1),"mmmm yyyy")&amp;" Campaign Calendar"</f>
        <v>July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172</v>
      </c>
      <c r="G3" s="32" t="s">
        <v>173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B6" s="34" t="str" cm="1">
        <f t="array" aca="1" ref="B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C6" s="34" t="str" cm="1">
        <f t="array" aca="1" ref="C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D6" s="34" t="str" cm="1">
        <f t="array" aca="1" ref="D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</v>
      </c>
      <c r="E6" s="34" t="str" cm="1">
        <f t="array" aca="1" ref="E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</v>
      </c>
      <c r="F6" s="34" t="str" cm="1">
        <f t="array" aca="1" ref="F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3</v>
      </c>
      <c r="G6" s="33" t="str" cm="1">
        <f t="array" aca="1" ref="G6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4</v>
      </c>
    </row>
    <row r="7" spans="1:7" ht="87.95" customHeight="1">
      <c r="A7" s="33" t="str" cm="1">
        <f t="array" aca="1" ref="A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5</v>
      </c>
      <c r="B7" s="34" t="str" cm="1">
        <f t="array" aca="1" ref="B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6</v>
      </c>
      <c r="C7" s="34" t="str" cm="1">
        <f t="array" aca="1" ref="C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7</v>
      </c>
      <c r="D7" s="34" t="str" cm="1">
        <f t="array" aca="1" ref="D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8</v>
      </c>
      <c r="E7" s="34" t="str" cm="1">
        <f t="array" aca="1" ref="E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9</v>
      </c>
      <c r="F7" s="34" t="str" cm="1">
        <f t="array" aca="1" ref="F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10</v>
      </c>
      <c r="G7" s="33" t="str" cm="1">
        <f t="array" aca="1" ref="G7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11</v>
      </c>
    </row>
    <row r="8" spans="1:7" ht="87.95" customHeight="1">
      <c r="A8" s="33" t="str" cm="1">
        <f t="array" aca="1" ref="A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12</v>
      </c>
      <c r="B8" s="34" t="str" cm="1">
        <f t="array" aca="1" ref="B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13</v>
      </c>
      <c r="C8" s="34" t="str" cm="1">
        <f t="array" aca="1" ref="C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14</v>
      </c>
      <c r="D8" s="34" t="str" cm="1">
        <f t="array" aca="1" ref="D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15</v>
      </c>
      <c r="E8" s="34" t="str" cm="1">
        <f t="array" aca="1" ref="E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16</v>
      </c>
      <c r="F8" s="34" t="str" cm="1">
        <f t="array" aca="1" ref="F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17</v>
      </c>
      <c r="G8" s="33" t="str" cm="1">
        <f t="array" aca="1" ref="G8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18</v>
      </c>
    </row>
    <row r="9" spans="1:7" ht="87.95" customHeight="1">
      <c r="A9" s="33" t="str" cm="1">
        <f t="array" aca="1" ref="A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19</v>
      </c>
      <c r="B9" s="34" t="str" cm="1">
        <f t="array" aca="1" ref="B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20</v>
      </c>
      <c r="C9" s="34" t="str" cm="1">
        <f t="array" aca="1" ref="C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21</v>
      </c>
      <c r="D9" s="34" t="str" cm="1">
        <f t="array" aca="1" ref="D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22</v>
      </c>
      <c r="E9" s="34" t="str" cm="1">
        <f t="array" aca="1" ref="E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23</v>
      </c>
      <c r="F9" s="34" t="str" cm="1">
        <f t="array" aca="1" ref="F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24</v>
      </c>
      <c r="G9" s="33" t="str" cm="1">
        <f t="array" aca="1" ref="G9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25</v>
      </c>
    </row>
    <row r="10" spans="1:7" ht="87.95" customHeight="1">
      <c r="A10" s="33" t="str" cm="1">
        <f t="array" aca="1" ref="A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26</v>
      </c>
      <c r="B10" s="34" t="str" cm="1">
        <f t="array" aca="1" ref="B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27</v>
      </c>
      <c r="C10" s="34" t="str" cm="1">
        <f t="array" aca="1" ref="C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28</v>
      </c>
      <c r="D10" s="34" t="str" cm="1">
        <f t="array" aca="1" ref="D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29</v>
      </c>
      <c r="E10" s="34" t="str" cm="1">
        <f t="array" aca="1" ref="E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30</v>
      </c>
      <c r="F10" s="34" t="str" cm="1">
        <f t="array" aca="1" ref="F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>31</v>
      </c>
      <c r="G10" s="33" t="str" cm="1">
        <f t="array" aca="1" ref="G10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B11" s="34" t="str" cm="1">
        <f t="array" aca="1" ref="B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C11" s="34" t="str" cm="1">
        <f t="array" aca="1" ref="C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D11" s="34" t="str" cm="1">
        <f t="array" aca="1" ref="D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E11" s="34" t="str" cm="1">
        <f t="array" aca="1" ref="E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F11" s="34" t="str" cm="1">
        <f t="array" aca="1" ref="F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  <c r="G11" s="33" t="str" cm="1">
        <f t="array" aca="1" ref="G11" ca="1">_xlfn.LET(_xlpm.first,DATE(YEAR(TODAY()),7,1),_xlpm.d,_xlpm.first-WEEKDAY(_xlpm.first,1)+1+(ROW()-6)*7+COLUMN()-1,_xlpm.items,_xlfn.TEXTJOIN(CHAR(10)&amp;"• ",TRUE,_xlfn._xlws.FILTER(ProductionInventoryTable[Campaign Name],IFERROR(INT(ProductionInventoryTable[Send Date]),0)=_xlpm.d,"")),IF(MONTH(_xlpm.d)&lt;&gt;7,"",DAY(_xlpm.d)&amp;IF(_xlpm.items="","",CHAR(10)&amp;"•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1" priority="1" stopIfTrue="1">
      <formula>ISNUMBER(SEARCH(CHAR(10),A6))</formula>
    </cfRule>
    <cfRule type="expression" dxfId="10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B5248142-651E-42FB-9A9B-95A5F24A4572}"/>
    <hyperlink ref="B3" location="'Production Inventory'!A1" display="Production Inventory" xr:uid="{F52CF42D-3210-4E0F-B5B3-67E6367671FF}"/>
    <hyperlink ref="F3" location="'June Calendar'!A1" display="&lt; June" xr:uid="{31682E8B-D52A-45AE-8350-D50CD0AC0514}"/>
    <hyperlink ref="G3" location="'August Calendar'!A1" display="August &gt;" xr:uid="{627BB57D-FC6C-4437-8082-E9C6E1C64BAF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TEXT(DATE(YEAR(TODAY()),8,1),"mmmm yyyy")&amp;" Campaign Calendar"</f>
        <v>August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174</v>
      </c>
      <c r="G3" s="32" t="s">
        <v>175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B6" s="34" t="str" cm="1">
        <f t="array" aca="1" ref="B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C6" s="34" t="str" cm="1">
        <f t="array" aca="1" ref="C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D6" s="34" t="str" cm="1">
        <f t="array" aca="1" ref="D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E6" s="34" t="str" cm="1">
        <f t="array" aca="1" ref="E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F6" s="34" t="str" cm="1">
        <f t="array" aca="1" ref="F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G6" s="33" t="str" cm="1">
        <f t="array" aca="1" ref="G6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</v>
      </c>
    </row>
    <row r="7" spans="1:7" ht="87.95" customHeight="1">
      <c r="A7" s="33" t="str" cm="1">
        <f t="array" aca="1" ref="A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</v>
      </c>
      <c r="B7" s="34" t="str" cm="1">
        <f t="array" aca="1" ref="B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3</v>
      </c>
      <c r="C7" s="34" t="str" cm="1">
        <f t="array" aca="1" ref="C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4</v>
      </c>
      <c r="D7" s="34" t="str" cm="1">
        <f t="array" aca="1" ref="D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5</v>
      </c>
      <c r="E7" s="34" t="str" cm="1">
        <f t="array" aca="1" ref="E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6</v>
      </c>
      <c r="F7" s="34" t="str" cm="1">
        <f t="array" aca="1" ref="F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7</v>
      </c>
      <c r="G7" s="33" t="str" cm="1">
        <f t="array" aca="1" ref="G7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8</v>
      </c>
    </row>
    <row r="8" spans="1:7" ht="87.95" customHeight="1">
      <c r="A8" s="33" t="str" cm="1">
        <f t="array" aca="1" ref="A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9</v>
      </c>
      <c r="B8" s="34" t="str" cm="1">
        <f t="array" aca="1" ref="B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10</v>
      </c>
      <c r="C8" s="34" t="str" cm="1">
        <f t="array" aca="1" ref="C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11</v>
      </c>
      <c r="D8" s="34" t="str" cm="1">
        <f t="array" aca="1" ref="D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12</v>
      </c>
      <c r="E8" s="34" t="str" cm="1">
        <f t="array" aca="1" ref="E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13</v>
      </c>
      <c r="F8" s="34" t="str" cm="1">
        <f t="array" aca="1" ref="F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14</v>
      </c>
      <c r="G8" s="33" t="str" cm="1">
        <f t="array" aca="1" ref="G8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15</v>
      </c>
    </row>
    <row r="9" spans="1:7" ht="87.95" customHeight="1">
      <c r="A9" s="33" t="str" cm="1">
        <f t="array" aca="1" ref="A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16</v>
      </c>
      <c r="B9" s="34" t="str" cm="1">
        <f t="array" aca="1" ref="B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17</v>
      </c>
      <c r="C9" s="34" t="str" cm="1">
        <f t="array" aca="1" ref="C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18</v>
      </c>
      <c r="D9" s="34" t="str" cm="1">
        <f t="array" aca="1" ref="D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19</v>
      </c>
      <c r="E9" s="34" t="str" cm="1">
        <f t="array" aca="1" ref="E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20</v>
      </c>
      <c r="F9" s="34" t="str" cm="1">
        <f t="array" aca="1" ref="F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21</v>
      </c>
      <c r="G9" s="33" t="str" cm="1">
        <f t="array" aca="1" ref="G9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22</v>
      </c>
    </row>
    <row r="10" spans="1:7" ht="87.95" customHeight="1">
      <c r="A10" s="33" t="str" cm="1">
        <f t="array" aca="1" ref="A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23</v>
      </c>
      <c r="B10" s="34" t="str" cm="1">
        <f t="array" aca="1" ref="B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24</v>
      </c>
      <c r="C10" s="34" t="str" cm="1">
        <f t="array" aca="1" ref="C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25</v>
      </c>
      <c r="D10" s="34" t="str" cm="1">
        <f t="array" aca="1" ref="D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26</v>
      </c>
      <c r="E10" s="34" t="str" cm="1">
        <f t="array" aca="1" ref="E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27</v>
      </c>
      <c r="F10" s="34" t="str" cm="1">
        <f t="array" aca="1" ref="F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28</v>
      </c>
      <c r="G10" s="33" t="str" cm="1">
        <f t="array" aca="1" ref="G10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29</v>
      </c>
    </row>
    <row r="11" spans="1:7" ht="87.95" customHeight="1">
      <c r="A11" s="33" t="str" cm="1">
        <f t="array" aca="1" ref="A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30</v>
      </c>
      <c r="B11" s="34" t="str" cm="1">
        <f t="array" aca="1" ref="B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>31</v>
      </c>
      <c r="C11" s="34" t="str" cm="1">
        <f t="array" aca="1" ref="C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D11" s="34" t="str" cm="1">
        <f t="array" aca="1" ref="D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E11" s="34" t="str" cm="1">
        <f t="array" aca="1" ref="E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F11" s="34" t="str" cm="1">
        <f t="array" aca="1" ref="F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  <c r="G11" s="33" t="str" cm="1">
        <f t="array" aca="1" ref="G11" ca="1">_xlfn.LET(_xlpm.first,DATE(YEAR(TODAY()),8,1),_xlpm.d,_xlpm.first-WEEKDAY(_xlpm.first,1)+1+(ROW()-6)*7+COLUMN()-1,_xlpm.items,_xlfn.TEXTJOIN(CHAR(10)&amp;"• ",TRUE,_xlfn._xlws.FILTER(ProductionInventoryTable[Campaign Name],IFERROR(INT(ProductionInventoryTable[Send Date]),0)=_xlpm.d,"")),IF(MONTH(_xlpm.d)&lt;&gt;8,"",DAY(_xlpm.d)&amp;IF(_xlpm.items="","",CHAR(10)&amp;"•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9" priority="1" stopIfTrue="1">
      <formula>ISNUMBER(SEARCH(CHAR(10),A6))</formula>
    </cfRule>
    <cfRule type="expression" dxfId="8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D1A7AF74-C6DF-4ACF-B02E-E0473DDBF086}"/>
    <hyperlink ref="B3" location="'Production Inventory'!A1" display="Production Inventory" xr:uid="{BF71A735-4131-4585-9084-62F7B47B390C}"/>
    <hyperlink ref="F3" location="'July Calendar'!A1" display="&lt; July" xr:uid="{43EB315F-83A4-4110-9395-522010BC2FD1}"/>
    <hyperlink ref="G3" location="'September Calendar'!A1" display="September &gt;" xr:uid="{B52D5703-D988-4B38-962B-B503A6F97E68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TEXT(DATE(YEAR(TODAY()),9,1),"mmmm yyyy")&amp;" Campaign Calendar"</f>
        <v>September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176</v>
      </c>
      <c r="G3" s="32" t="s">
        <v>177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B6" s="34" t="str" cm="1">
        <f t="array" aca="1" ref="B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C6" s="34" t="str" cm="1">
        <f t="array" aca="1" ref="C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</v>
      </c>
      <c r="D6" s="34" t="str" cm="1">
        <f t="array" aca="1" ref="D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</v>
      </c>
      <c r="E6" s="34" t="str" cm="1">
        <f t="array" aca="1" ref="E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3</v>
      </c>
      <c r="F6" s="34" t="str" cm="1">
        <f t="array" aca="1" ref="F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4</v>
      </c>
      <c r="G6" s="33" t="str" cm="1">
        <f t="array" aca="1" ref="G6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5</v>
      </c>
    </row>
    <row r="7" spans="1:7" ht="87.95" customHeight="1">
      <c r="A7" s="33" t="str" cm="1">
        <f t="array" aca="1" ref="A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6</v>
      </c>
      <c r="B7" s="34" t="str" cm="1">
        <f t="array" aca="1" ref="B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7</v>
      </c>
      <c r="C7" s="34" t="str" cm="1">
        <f t="array" aca="1" ref="C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8</v>
      </c>
      <c r="D7" s="34" t="str" cm="1">
        <f t="array" aca="1" ref="D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9</v>
      </c>
      <c r="E7" s="34" t="str" cm="1">
        <f t="array" aca="1" ref="E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10</v>
      </c>
      <c r="F7" s="34" t="str" cm="1">
        <f t="array" aca="1" ref="F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11</v>
      </c>
      <c r="G7" s="33" t="str" cm="1">
        <f t="array" aca="1" ref="G7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12</v>
      </c>
    </row>
    <row r="8" spans="1:7" ht="87.95" customHeight="1">
      <c r="A8" s="33" t="str" cm="1">
        <f t="array" aca="1" ref="A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13</v>
      </c>
      <c r="B8" s="34" t="str" cm="1">
        <f t="array" aca="1" ref="B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14</v>
      </c>
      <c r="C8" s="34" t="str" cm="1">
        <f t="array" aca="1" ref="C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15</v>
      </c>
      <c r="D8" s="34" t="str" cm="1">
        <f t="array" aca="1" ref="D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16</v>
      </c>
      <c r="E8" s="34" t="str" cm="1">
        <f t="array" aca="1" ref="E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17</v>
      </c>
      <c r="F8" s="34" t="str" cm="1">
        <f t="array" aca="1" ref="F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18</v>
      </c>
      <c r="G8" s="33" t="str" cm="1">
        <f t="array" aca="1" ref="G8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19</v>
      </c>
    </row>
    <row r="9" spans="1:7" ht="87.95" customHeight="1">
      <c r="A9" s="33" t="str" cm="1">
        <f t="array" aca="1" ref="A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20</v>
      </c>
      <c r="B9" s="34" t="str" cm="1">
        <f t="array" aca="1" ref="B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21</v>
      </c>
      <c r="C9" s="34" t="str" cm="1">
        <f t="array" aca="1" ref="C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22</v>
      </c>
      <c r="D9" s="34" t="str" cm="1">
        <f t="array" aca="1" ref="D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23</v>
      </c>
      <c r="E9" s="34" t="str" cm="1">
        <f t="array" aca="1" ref="E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24</v>
      </c>
      <c r="F9" s="34" t="str" cm="1">
        <f t="array" aca="1" ref="F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25</v>
      </c>
      <c r="G9" s="33" t="str" cm="1">
        <f t="array" aca="1" ref="G9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26</v>
      </c>
    </row>
    <row r="10" spans="1:7" ht="87.95" customHeight="1">
      <c r="A10" s="33" t="str" cm="1">
        <f t="array" aca="1" ref="A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27</v>
      </c>
      <c r="B10" s="34" t="str" cm="1">
        <f t="array" aca="1" ref="B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28</v>
      </c>
      <c r="C10" s="34" t="str" cm="1">
        <f t="array" aca="1" ref="C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29</v>
      </c>
      <c r="D10" s="34" t="str" cm="1">
        <f t="array" aca="1" ref="D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>30</v>
      </c>
      <c r="E10" s="34" t="str" cm="1">
        <f t="array" aca="1" ref="E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F10" s="34" t="str" cm="1">
        <f t="array" aca="1" ref="F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G10" s="33" t="str" cm="1">
        <f t="array" aca="1" ref="G10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B11" s="34" t="str" cm="1">
        <f t="array" aca="1" ref="B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C11" s="34" t="str" cm="1">
        <f t="array" aca="1" ref="C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D11" s="34" t="str" cm="1">
        <f t="array" aca="1" ref="D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E11" s="34" t="str" cm="1">
        <f t="array" aca="1" ref="E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F11" s="34" t="str" cm="1">
        <f t="array" aca="1" ref="F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  <c r="G11" s="33" t="str" cm="1">
        <f t="array" aca="1" ref="G11" ca="1">_xlfn.LET(_xlpm.first,DATE(YEAR(TODAY()),9,1),_xlpm.d,_xlpm.first-WEEKDAY(_xlpm.first,1)+1+(ROW()-6)*7+COLUMN()-1,_xlpm.items,_xlfn.TEXTJOIN(CHAR(10)&amp;"• ",TRUE,_xlfn._xlws.FILTER(ProductionInventoryTable[Campaign Name],IFERROR(INT(ProductionInventoryTable[Send Date]),0)=_xlpm.d,"")),IF(MONTH(_xlpm.d)&lt;&gt;9,"",DAY(_xlpm.d)&amp;IF(_xlpm.items="","",CHAR(10)&amp;"•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7" priority="1" stopIfTrue="1">
      <formula>ISNUMBER(SEARCH(CHAR(10),A6))</formula>
    </cfRule>
    <cfRule type="expression" dxfId="6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972CD60D-5A36-4191-8EA4-9588D0EB287D}"/>
    <hyperlink ref="B3" location="'Production Inventory'!A1" display="Production Inventory" xr:uid="{76197997-8136-4846-92F1-371DA2AE3112}"/>
    <hyperlink ref="F3" location="'August Calendar'!A1" display="&lt; August" xr:uid="{8EF03581-808A-4143-9CE0-C5077FC639E9}"/>
    <hyperlink ref="G3" location="'October Calendar'!A1" display="October &gt;" xr:uid="{81516621-E60D-4CB9-A739-C27903A4D2E7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TEXT(DATE(YEAR(TODAY()),10,1),"mmmm yyyy")&amp;" Campaign Calendar"</f>
        <v>October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178</v>
      </c>
      <c r="G3" s="32" t="s">
        <v>179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B6" s="34" t="str" cm="1">
        <f t="array" aca="1" ref="B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C6" s="34" t="str" cm="1">
        <f t="array" aca="1" ref="C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D6" s="34" t="str" cm="1">
        <f t="array" aca="1" ref="D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E6" s="34" t="str" cm="1">
        <f t="array" aca="1" ref="E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</v>
      </c>
      <c r="F6" s="34" t="str" cm="1">
        <f t="array" aca="1" ref="F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</v>
      </c>
      <c r="G6" s="33" t="str" cm="1">
        <f t="array" aca="1" ref="G6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3</v>
      </c>
    </row>
    <row r="7" spans="1:7" ht="87.95" customHeight="1">
      <c r="A7" s="33" t="str" cm="1">
        <f t="array" aca="1" ref="A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4</v>
      </c>
      <c r="B7" s="34" t="str" cm="1">
        <f t="array" aca="1" ref="B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5</v>
      </c>
      <c r="C7" s="34" t="str" cm="1">
        <f t="array" aca="1" ref="C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6</v>
      </c>
      <c r="D7" s="34" t="str" cm="1">
        <f t="array" aca="1" ref="D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7</v>
      </c>
      <c r="E7" s="34" t="str" cm="1">
        <f t="array" aca="1" ref="E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8</v>
      </c>
      <c r="F7" s="34" t="str" cm="1">
        <f t="array" aca="1" ref="F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9</v>
      </c>
      <c r="G7" s="33" t="str" cm="1">
        <f t="array" aca="1" ref="G7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10</v>
      </c>
    </row>
    <row r="8" spans="1:7" ht="87.95" customHeight="1">
      <c r="A8" s="33" t="str" cm="1">
        <f t="array" aca="1" ref="A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11</v>
      </c>
      <c r="B8" s="34" t="str" cm="1">
        <f t="array" aca="1" ref="B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12</v>
      </c>
      <c r="C8" s="34" t="str" cm="1">
        <f t="array" aca="1" ref="C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13</v>
      </c>
      <c r="D8" s="34" t="str" cm="1">
        <f t="array" aca="1" ref="D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14</v>
      </c>
      <c r="E8" s="34" t="str" cm="1">
        <f t="array" aca="1" ref="E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15</v>
      </c>
      <c r="F8" s="34" t="str" cm="1">
        <f t="array" aca="1" ref="F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16</v>
      </c>
      <c r="G8" s="33" t="str" cm="1">
        <f t="array" aca="1" ref="G8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17</v>
      </c>
    </row>
    <row r="9" spans="1:7" ht="87.95" customHeight="1">
      <c r="A9" s="33" t="str" cm="1">
        <f t="array" aca="1" ref="A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18</v>
      </c>
      <c r="B9" s="34" t="str" cm="1">
        <f t="array" aca="1" ref="B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19</v>
      </c>
      <c r="C9" s="34" t="str" cm="1">
        <f t="array" aca="1" ref="C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20</v>
      </c>
      <c r="D9" s="34" t="str" cm="1">
        <f t="array" aca="1" ref="D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21</v>
      </c>
      <c r="E9" s="34" t="str" cm="1">
        <f t="array" aca="1" ref="E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22</v>
      </c>
      <c r="F9" s="34" t="str" cm="1">
        <f t="array" aca="1" ref="F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23</v>
      </c>
      <c r="G9" s="33" t="str" cm="1">
        <f t="array" aca="1" ref="G9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24</v>
      </c>
    </row>
    <row r="10" spans="1:7" ht="87.95" customHeight="1">
      <c r="A10" s="33" t="str" cm="1">
        <f t="array" aca="1" ref="A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25</v>
      </c>
      <c r="B10" s="34" t="str" cm="1">
        <f t="array" aca="1" ref="B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26</v>
      </c>
      <c r="C10" s="34" t="str" cm="1">
        <f t="array" aca="1" ref="C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27</v>
      </c>
      <c r="D10" s="34" t="str" cm="1">
        <f t="array" aca="1" ref="D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28</v>
      </c>
      <c r="E10" s="34" t="str" cm="1">
        <f t="array" aca="1" ref="E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29</v>
      </c>
      <c r="F10" s="34" t="str" cm="1">
        <f t="array" aca="1" ref="F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30</v>
      </c>
      <c r="G10" s="33" t="str" cm="1">
        <f t="array" aca="1" ref="G10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>31</v>
      </c>
    </row>
    <row r="11" spans="1:7" ht="87.95" customHeight="1">
      <c r="A11" s="33" t="str" cm="1">
        <f t="array" aca="1" ref="A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B11" s="34" t="str" cm="1">
        <f t="array" aca="1" ref="B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C11" s="34" t="str" cm="1">
        <f t="array" aca="1" ref="C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D11" s="34" t="str" cm="1">
        <f t="array" aca="1" ref="D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E11" s="34" t="str" cm="1">
        <f t="array" aca="1" ref="E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F11" s="34" t="str" cm="1">
        <f t="array" aca="1" ref="F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  <c r="G11" s="33" t="str" cm="1">
        <f t="array" aca="1" ref="G11" ca="1">_xlfn.LET(_xlpm.first,DATE(YEAR(TODAY()),10,1),_xlpm.d,_xlpm.first-WEEKDAY(_xlpm.first,1)+1+(ROW()-6)*7+COLUMN()-1,_xlpm.items,_xlfn.TEXTJOIN(CHAR(10)&amp;"• ",TRUE,_xlfn._xlws.FILTER(ProductionInventoryTable[Campaign Name],IFERROR(INT(ProductionInventoryTable[Send Date]),0)=_xlpm.d,"")),IF(MONTH(_xlpm.d)&lt;&gt;10,"",DAY(_xlpm.d)&amp;IF(_xlpm.items="","",CHAR(10)&amp;"•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5" priority="1" stopIfTrue="1">
      <formula>ISNUMBER(SEARCH(CHAR(10),A6))</formula>
    </cfRule>
    <cfRule type="expression" dxfId="4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6FCF969-5E8A-42E9-8267-2BF7D573C2FE}"/>
    <hyperlink ref="B3" location="'Production Inventory'!A1" display="Production Inventory" xr:uid="{03B63A52-F604-4500-896E-71030F9C03F5}"/>
    <hyperlink ref="F3" location="'September Calendar'!A1" display="&lt; September" xr:uid="{7C74C9D9-9717-46E5-9CC4-6C3DB3BD2228}"/>
    <hyperlink ref="G3" location="'November Calendar'!A1" display="November &gt;" xr:uid="{6D5A3F51-38B8-423C-8FDA-1BB86BE7C18D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TEXT(DATE(YEAR(TODAY()),11,1),"mmmm yyyy")&amp;" Campaign Calendar"</f>
        <v>November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180</v>
      </c>
      <c r="G3" s="32" t="s">
        <v>181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</v>
      </c>
      <c r="B6" s="34" t="str" cm="1">
        <f t="array" aca="1" ref="B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</v>
      </c>
      <c r="C6" s="34" t="str" cm="1">
        <f t="array" aca="1" ref="C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3</v>
      </c>
      <c r="D6" s="34" t="str" cm="1">
        <f t="array" aca="1" ref="D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4</v>
      </c>
      <c r="E6" s="34" t="str" cm="1">
        <f t="array" aca="1" ref="E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5</v>
      </c>
      <c r="F6" s="34" t="str" cm="1">
        <f t="array" aca="1" ref="F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6</v>
      </c>
      <c r="G6" s="33" t="str" cm="1">
        <f t="array" aca="1" ref="G6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7</v>
      </c>
    </row>
    <row r="7" spans="1:7" ht="87.95" customHeight="1">
      <c r="A7" s="33" t="str" cm="1">
        <f t="array" aca="1" ref="A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8</v>
      </c>
      <c r="B7" s="34" t="str" cm="1">
        <f t="array" aca="1" ref="B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9</v>
      </c>
      <c r="C7" s="34" t="str" cm="1">
        <f t="array" aca="1" ref="C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10</v>
      </c>
      <c r="D7" s="34" t="str" cm="1">
        <f t="array" aca="1" ref="D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11</v>
      </c>
      <c r="E7" s="34" t="str" cm="1">
        <f t="array" aca="1" ref="E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12</v>
      </c>
      <c r="F7" s="34" t="str" cm="1">
        <f t="array" aca="1" ref="F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13</v>
      </c>
      <c r="G7" s="33" t="str" cm="1">
        <f t="array" aca="1" ref="G7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14</v>
      </c>
    </row>
    <row r="8" spans="1:7" ht="87.95" customHeight="1">
      <c r="A8" s="33" t="str" cm="1">
        <f t="array" aca="1" ref="A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15</v>
      </c>
      <c r="B8" s="34" t="str" cm="1">
        <f t="array" aca="1" ref="B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16</v>
      </c>
      <c r="C8" s="34" t="str" cm="1">
        <f t="array" aca="1" ref="C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17</v>
      </c>
      <c r="D8" s="34" t="str" cm="1">
        <f t="array" aca="1" ref="D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18</v>
      </c>
      <c r="E8" s="34" t="str" cm="1">
        <f t="array" aca="1" ref="E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19</v>
      </c>
      <c r="F8" s="34" t="str" cm="1">
        <f t="array" aca="1" ref="F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20</v>
      </c>
      <c r="G8" s="33" t="str" cm="1">
        <f t="array" aca="1" ref="G8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21</v>
      </c>
    </row>
    <row r="9" spans="1:7" ht="87.95" customHeight="1">
      <c r="A9" s="33" t="str" cm="1">
        <f t="array" aca="1" ref="A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22</v>
      </c>
      <c r="B9" s="34" t="str" cm="1">
        <f t="array" aca="1" ref="B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23</v>
      </c>
      <c r="C9" s="34" t="str" cm="1">
        <f t="array" aca="1" ref="C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24</v>
      </c>
      <c r="D9" s="34" t="str" cm="1">
        <f t="array" aca="1" ref="D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25</v>
      </c>
      <c r="E9" s="34" t="str" cm="1">
        <f t="array" aca="1" ref="E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26</v>
      </c>
      <c r="F9" s="34" t="str" cm="1">
        <f t="array" aca="1" ref="F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27</v>
      </c>
      <c r="G9" s="33" t="str" cm="1">
        <f t="array" aca="1" ref="G9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28</v>
      </c>
    </row>
    <row r="10" spans="1:7" ht="87.95" customHeight="1">
      <c r="A10" s="33" t="str" cm="1">
        <f t="array" aca="1" ref="A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29</v>
      </c>
      <c r="B10" s="34" t="str" cm="1">
        <f t="array" aca="1" ref="B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>30</v>
      </c>
      <c r="C10" s="34" t="str" cm="1">
        <f t="array" aca="1" ref="C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D10" s="34" t="str" cm="1">
        <f t="array" aca="1" ref="D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E10" s="34" t="str" cm="1">
        <f t="array" aca="1" ref="E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F10" s="34" t="str" cm="1">
        <f t="array" aca="1" ref="F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G10" s="33" t="str" cm="1">
        <f t="array" aca="1" ref="G10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B11" s="34" t="str" cm="1">
        <f t="array" aca="1" ref="B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C11" s="34" t="str" cm="1">
        <f t="array" aca="1" ref="C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D11" s="34" t="str" cm="1">
        <f t="array" aca="1" ref="D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E11" s="34" t="str" cm="1">
        <f t="array" aca="1" ref="E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F11" s="34" t="str" cm="1">
        <f t="array" aca="1" ref="F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  <c r="G11" s="33" t="str" cm="1">
        <f t="array" aca="1" ref="G11" ca="1">_xlfn.LET(_xlpm.first,DATE(YEAR(TODAY()),11,1),_xlpm.d,_xlpm.first-WEEKDAY(_xlpm.first,1)+1+(ROW()-6)*7+COLUMN()-1,_xlpm.items,_xlfn.TEXTJOIN(CHAR(10)&amp;"• ",TRUE,_xlfn._xlws.FILTER(ProductionInventoryTable[Campaign Name],IFERROR(INT(ProductionInventoryTable[Send Date]),0)=_xlpm.d,"")),IF(MONTH(_xlpm.d)&lt;&gt;11,"",DAY(_xlpm.d)&amp;IF(_xlpm.items="","",CHAR(10)&amp;"•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3" priority="1" stopIfTrue="1">
      <formula>ISNUMBER(SEARCH(CHAR(10),A6))</formula>
    </cfRule>
    <cfRule type="expression" dxfId="2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E23CD782-E69B-4F29-A86E-F2437F02F18A}"/>
    <hyperlink ref="B3" location="'Production Inventory'!A1" display="Production Inventory" xr:uid="{DFF313BB-69DE-4E99-92C3-7BBD4C7ED41D}"/>
    <hyperlink ref="F3" location="'October Calendar'!A1" display="&lt; October" xr:uid="{39A6C285-7F55-4FC1-8C3D-B3628EC94D47}"/>
    <hyperlink ref="G3" location="'December Calendar'!A1" display="December &gt;" xr:uid="{9D8AA832-6FDB-44CD-8FB2-8C9627391524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>
    <tabColor rgb="FF5B9BD5"/>
  </sheetPr>
  <dimension ref="A1:G12"/>
  <sheetViews>
    <sheetView showGridLines="0" zoomScale="90" zoomScaleNormal="90" workbookViewId="0">
      <pane ySplit="5" topLeftCell="A6" activePane="bottomLeft" state="frozen"/>
      <selection pane="bottomLeft" activeCell="A6" sqref="A6"/>
    </sheetView>
  </sheetViews>
  <sheetFormatPr defaultRowHeight="14.25"/>
  <cols>
    <col min="1" max="7" width="22.625" customWidth="1"/>
  </cols>
  <sheetData>
    <row r="1" spans="1:7" ht="33.950000000000003" customHeight="1">
      <c r="A1" s="73" t="str">
        <f ca="1">TEXT(DATE(YEAR(TODAY()),12,1),"mmmm yyyy")&amp;" Campaign Calendar"</f>
        <v>December 2026 Campaign Calendar</v>
      </c>
      <c r="B1" s="73"/>
      <c r="C1" s="73"/>
      <c r="D1" s="73"/>
      <c r="E1" s="73"/>
      <c r="F1" s="73"/>
      <c r="G1" s="73"/>
    </row>
    <row r="2" spans="1:7" ht="21.95" customHeight="1">
      <c r="A2" s="74" t="s">
        <v>148</v>
      </c>
      <c r="B2" s="74"/>
      <c r="C2" s="74"/>
      <c r="D2" s="74"/>
      <c r="E2" s="74"/>
      <c r="F2" s="74"/>
      <c r="G2" s="74"/>
    </row>
    <row r="3" spans="1:7" ht="24" customHeight="1">
      <c r="A3" s="32" t="s">
        <v>149</v>
      </c>
      <c r="B3" s="32" t="s">
        <v>150</v>
      </c>
      <c r="C3" s="75" t="str">
        <f ca="1">"Today: "&amp;TEXT(TODAY(),"MM/DD/YYYY")</f>
        <v>Today: 06/06/2026</v>
      </c>
      <c r="D3" s="75"/>
      <c r="E3" s="75"/>
      <c r="F3" s="32" t="s">
        <v>182</v>
      </c>
      <c r="G3" s="32" t="s">
        <v>183</v>
      </c>
    </row>
    <row r="4" spans="1:7" ht="27.95" customHeight="1">
      <c r="A4" s="76" t="s">
        <v>153</v>
      </c>
      <c r="B4" s="76"/>
      <c r="C4" s="76"/>
      <c r="D4" s="76"/>
      <c r="E4" s="76"/>
      <c r="F4" s="76"/>
      <c r="G4" s="76"/>
    </row>
    <row r="5" spans="1:7" ht="24" customHeight="1">
      <c r="A5" s="35" t="s">
        <v>154</v>
      </c>
      <c r="B5" s="35" t="s">
        <v>155</v>
      </c>
      <c r="C5" s="35" t="s">
        <v>156</v>
      </c>
      <c r="D5" s="35" t="s">
        <v>157</v>
      </c>
      <c r="E5" s="35" t="s">
        <v>158</v>
      </c>
      <c r="F5" s="35" t="s">
        <v>159</v>
      </c>
      <c r="G5" s="35" t="s">
        <v>160</v>
      </c>
    </row>
    <row r="6" spans="1:7" ht="87.95" customHeight="1">
      <c r="A6" s="33" t="str" cm="1">
        <f t="array" aca="1" ref="A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B6" s="34" t="str" cm="1">
        <f t="array" aca="1" ref="B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C6" s="34" t="str" cm="1">
        <f t="array" aca="1" ref="C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</v>
      </c>
      <c r="D6" s="34" t="str" cm="1">
        <f t="array" aca="1" ref="D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</v>
      </c>
      <c r="E6" s="34" t="str" cm="1">
        <f t="array" aca="1" ref="E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3</v>
      </c>
      <c r="F6" s="34" t="str" cm="1">
        <f t="array" aca="1" ref="F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4</v>
      </c>
      <c r="G6" s="33" t="str" cm="1">
        <f t="array" aca="1" ref="G6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5</v>
      </c>
    </row>
    <row r="7" spans="1:7" ht="87.95" customHeight="1">
      <c r="A7" s="33" t="str" cm="1">
        <f t="array" aca="1" ref="A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6</v>
      </c>
      <c r="B7" s="34" t="str" cm="1">
        <f t="array" aca="1" ref="B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7</v>
      </c>
      <c r="C7" s="34" t="str" cm="1">
        <f t="array" aca="1" ref="C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8</v>
      </c>
      <c r="D7" s="34" t="str" cm="1">
        <f t="array" aca="1" ref="D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9</v>
      </c>
      <c r="E7" s="34" t="str" cm="1">
        <f t="array" aca="1" ref="E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10</v>
      </c>
      <c r="F7" s="34" t="str" cm="1">
        <f t="array" aca="1" ref="F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11</v>
      </c>
      <c r="G7" s="33" t="str" cm="1">
        <f t="array" aca="1" ref="G7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12</v>
      </c>
    </row>
    <row r="8" spans="1:7" ht="87.95" customHeight="1">
      <c r="A8" s="33" t="str" cm="1">
        <f t="array" aca="1" ref="A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13</v>
      </c>
      <c r="B8" s="34" t="str" cm="1">
        <f t="array" aca="1" ref="B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14</v>
      </c>
      <c r="C8" s="34" t="str" cm="1">
        <f t="array" aca="1" ref="C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15</v>
      </c>
      <c r="D8" s="34" t="str" cm="1">
        <f t="array" aca="1" ref="D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16</v>
      </c>
      <c r="E8" s="34" t="str" cm="1">
        <f t="array" aca="1" ref="E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17</v>
      </c>
      <c r="F8" s="34" t="str" cm="1">
        <f t="array" aca="1" ref="F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18</v>
      </c>
      <c r="G8" s="33" t="str" cm="1">
        <f t="array" aca="1" ref="G8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19</v>
      </c>
    </row>
    <row r="9" spans="1:7" ht="87.95" customHeight="1">
      <c r="A9" s="33" t="str" cm="1">
        <f t="array" aca="1" ref="A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20</v>
      </c>
      <c r="B9" s="34" t="str" cm="1">
        <f t="array" aca="1" ref="B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21</v>
      </c>
      <c r="C9" s="34" t="str" cm="1">
        <f t="array" aca="1" ref="C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22</v>
      </c>
      <c r="D9" s="34" t="str" cm="1">
        <f t="array" aca="1" ref="D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23</v>
      </c>
      <c r="E9" s="34" t="str" cm="1">
        <f t="array" aca="1" ref="E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24</v>
      </c>
      <c r="F9" s="34" t="str" cm="1">
        <f t="array" aca="1" ref="F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25</v>
      </c>
      <c r="G9" s="33" t="str" cm="1">
        <f t="array" aca="1" ref="G9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26</v>
      </c>
    </row>
    <row r="10" spans="1:7" ht="87.95" customHeight="1">
      <c r="A10" s="33" t="str" cm="1">
        <f t="array" aca="1" ref="A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27</v>
      </c>
      <c r="B10" s="34" t="str" cm="1">
        <f t="array" aca="1" ref="B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28</v>
      </c>
      <c r="C10" s="34" t="str" cm="1">
        <f t="array" aca="1" ref="C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29</v>
      </c>
      <c r="D10" s="34" t="str" cm="1">
        <f t="array" aca="1" ref="D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30</v>
      </c>
      <c r="E10" s="34" t="str" cm="1">
        <f t="array" aca="1" ref="E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>31</v>
      </c>
      <c r="F10" s="34" t="str" cm="1">
        <f t="array" aca="1" ref="F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G10" s="33" t="str" cm="1">
        <f t="array" aca="1" ref="G10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</row>
    <row r="11" spans="1:7" ht="87.95" customHeight="1">
      <c r="A11" s="33" t="str" cm="1">
        <f t="array" aca="1" ref="A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B11" s="34" t="str" cm="1">
        <f t="array" aca="1" ref="B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C11" s="34" t="str" cm="1">
        <f t="array" aca="1" ref="C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D11" s="34" t="str" cm="1">
        <f t="array" aca="1" ref="D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E11" s="34" t="str" cm="1">
        <f t="array" aca="1" ref="E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F11" s="34" t="str" cm="1">
        <f t="array" aca="1" ref="F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  <c r="G11" s="33" t="str" cm="1">
        <f t="array" aca="1" ref="G11" ca="1">_xlfn.LET(_xlpm.first,DATE(YEAR(TODAY()),12,1),_xlpm.d,_xlpm.first-WEEKDAY(_xlpm.first,1)+1+(ROW()-6)*7+COLUMN()-1,_xlpm.items,_xlfn.TEXTJOIN(CHAR(10)&amp;"• ",TRUE,_xlfn._xlws.FILTER(ProductionInventoryTable[Campaign Name],IFERROR(INT(ProductionInventoryTable[Send Date]),0)=_xlpm.d,"")),IF(MONTH(_xlpm.d)&lt;&gt;12,"",DAY(_xlpm.d)&amp;IF(_xlpm.items="","",CHAR(10)&amp;"• "&amp;_xlpm.items)))</f>
        <v/>
      </c>
    </row>
    <row r="12" spans="1:7" ht="21.95" customHeight="1">
      <c r="A12" s="77" t="s">
        <v>161</v>
      </c>
      <c r="B12" s="77"/>
      <c r="C12" s="77"/>
      <c r="D12" s="77"/>
      <c r="E12" s="77"/>
      <c r="F12" s="77"/>
      <c r="G12" s="77"/>
    </row>
  </sheetData>
  <mergeCells count="5">
    <mergeCell ref="A1:G1"/>
    <mergeCell ref="A2:G2"/>
    <mergeCell ref="C3:E3"/>
    <mergeCell ref="A4:G4"/>
    <mergeCell ref="A12:G12"/>
  </mergeCells>
  <conditionalFormatting sqref="A6:G11">
    <cfRule type="expression" dxfId="1" priority="1" stopIfTrue="1">
      <formula>ISNUMBER(SEARCH(CHAR(10),A6))</formula>
    </cfRule>
    <cfRule type="expression" dxfId="0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D480C94C-0545-468F-86B2-95B01095D118}"/>
    <hyperlink ref="B3" location="'Production Inventory'!A1" display="Production Inventory" xr:uid="{9753D870-D47C-4F36-9CFF-81112A840206}"/>
    <hyperlink ref="F3" location="'November Calendar'!A1" display="&lt; November" xr:uid="{E7015E39-592B-4224-836D-A34AA406F741}"/>
    <hyperlink ref="G3" location="'January Calendar'!A1" display="January &gt;" xr:uid="{CFE4841C-118A-4D04-8F23-467D13FDD112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2" t="s">
        <v>3</v>
      </c>
      <c r="B1" s="2" t="s">
        <v>4</v>
      </c>
      <c r="C1" s="2" t="s">
        <v>75</v>
      </c>
      <c r="D1" s="2" t="s">
        <v>11</v>
      </c>
      <c r="E1" s="2" t="s">
        <v>76</v>
      </c>
    </row>
    <row r="2" spans="1:5">
      <c r="A2" t="s">
        <v>15</v>
      </c>
      <c r="B2" t="s">
        <v>33</v>
      </c>
      <c r="C2" t="s">
        <v>30</v>
      </c>
      <c r="D2" t="s">
        <v>77</v>
      </c>
      <c r="E2" t="s">
        <v>46</v>
      </c>
    </row>
    <row r="3" spans="1:5">
      <c r="A3" t="s">
        <v>28</v>
      </c>
      <c r="B3" t="s">
        <v>78</v>
      </c>
      <c r="C3" t="s">
        <v>33</v>
      </c>
      <c r="D3" t="s">
        <v>58</v>
      </c>
      <c r="E3" t="s">
        <v>16</v>
      </c>
    </row>
    <row r="4" spans="1:5">
      <c r="A4" t="s">
        <v>39</v>
      </c>
      <c r="B4" t="s">
        <v>79</v>
      </c>
      <c r="C4" t="s">
        <v>80</v>
      </c>
      <c r="D4" t="s">
        <v>81</v>
      </c>
      <c r="E4" t="s">
        <v>29</v>
      </c>
    </row>
    <row r="5" spans="1:5">
      <c r="A5" t="s">
        <v>45</v>
      </c>
      <c r="B5" t="s">
        <v>82</v>
      </c>
      <c r="C5" t="s">
        <v>40</v>
      </c>
      <c r="D5" t="s">
        <v>83</v>
      </c>
      <c r="E5" t="s">
        <v>84</v>
      </c>
    </row>
    <row r="6" spans="1:5">
      <c r="A6" t="s">
        <v>85</v>
      </c>
      <c r="B6" t="s">
        <v>86</v>
      </c>
      <c r="C6" t="s">
        <v>17</v>
      </c>
      <c r="D6" t="s">
        <v>57</v>
      </c>
      <c r="E6" t="s">
        <v>87</v>
      </c>
    </row>
    <row r="7" spans="1:5">
      <c r="A7" t="s">
        <v>88</v>
      </c>
      <c r="B7" t="s">
        <v>89</v>
      </c>
      <c r="C7" t="s">
        <v>41</v>
      </c>
      <c r="D7" t="s">
        <v>19</v>
      </c>
      <c r="E7" t="s">
        <v>90</v>
      </c>
    </row>
    <row r="8" spans="1:5">
      <c r="A8" t="s">
        <v>91</v>
      </c>
      <c r="B8" t="s">
        <v>92</v>
      </c>
      <c r="C8" t="s">
        <v>32</v>
      </c>
      <c r="D8" t="s">
        <v>93</v>
      </c>
      <c r="E8" t="s">
        <v>94</v>
      </c>
    </row>
    <row r="9" spans="1:5">
      <c r="A9" t="s">
        <v>95</v>
      </c>
      <c r="B9" t="s">
        <v>96</v>
      </c>
      <c r="C9" t="s">
        <v>19</v>
      </c>
    </row>
    <row r="10" spans="1:5">
      <c r="A10" t="s">
        <v>97</v>
      </c>
      <c r="B10" t="s">
        <v>98</v>
      </c>
      <c r="C10" t="s">
        <v>18</v>
      </c>
    </row>
    <row r="11" spans="1:5">
      <c r="A11" t="s">
        <v>99</v>
      </c>
      <c r="B11" t="s">
        <v>100</v>
      </c>
      <c r="C11" t="s">
        <v>31</v>
      </c>
    </row>
    <row r="12" spans="1:5">
      <c r="A12" t="s">
        <v>94</v>
      </c>
      <c r="B12" t="s">
        <v>101</v>
      </c>
      <c r="C12" t="s">
        <v>21</v>
      </c>
    </row>
    <row r="13" spans="1:5">
      <c r="B13" t="s">
        <v>22</v>
      </c>
      <c r="C13" t="s">
        <v>102</v>
      </c>
    </row>
    <row r="14" spans="1:5">
      <c r="B14" t="s">
        <v>20</v>
      </c>
      <c r="C14" t="s">
        <v>20</v>
      </c>
    </row>
    <row r="15" spans="1:5">
      <c r="B15" t="s">
        <v>57</v>
      </c>
      <c r="C15" t="s">
        <v>22</v>
      </c>
    </row>
    <row r="16" spans="1:5">
      <c r="B16" t="s">
        <v>103</v>
      </c>
      <c r="C16" t="s">
        <v>57</v>
      </c>
    </row>
    <row r="17" spans="3:3">
      <c r="C17" t="s">
        <v>103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06"/>
  <sheetViews>
    <sheetView workbookViewId="0"/>
  </sheetViews>
  <sheetFormatPr defaultRowHeight="14.25"/>
  <cols>
    <col min="1" max="4" width="28" customWidth="1"/>
  </cols>
  <sheetData>
    <row r="1" spans="1:4" ht="15">
      <c r="A1" s="2" t="s">
        <v>104</v>
      </c>
      <c r="B1" s="2" t="s">
        <v>105</v>
      </c>
      <c r="C1" s="2" t="s">
        <v>106</v>
      </c>
      <c r="D1" s="2" t="s">
        <v>107</v>
      </c>
    </row>
    <row r="201" spans="1:4">
      <c r="A201" s="30">
        <v>46179.29378472222</v>
      </c>
      <c r="B201" t="s">
        <v>141</v>
      </c>
      <c r="C201" t="s">
        <v>142</v>
      </c>
      <c r="D201" t="s">
        <v>143</v>
      </c>
    </row>
    <row r="202" spans="1:4">
      <c r="A202" s="30">
        <v>46179.29378472222</v>
      </c>
      <c r="B202" t="s">
        <v>141</v>
      </c>
      <c r="C202" t="s">
        <v>144</v>
      </c>
      <c r="D202" t="s">
        <v>145</v>
      </c>
    </row>
    <row r="203" spans="1:4">
      <c r="A203" s="30">
        <v>46179.296273148146</v>
      </c>
      <c r="B203" t="s">
        <v>141</v>
      </c>
      <c r="C203" t="s">
        <v>142</v>
      </c>
      <c r="D203" t="s">
        <v>143</v>
      </c>
    </row>
    <row r="204" spans="1:4">
      <c r="A204" s="30">
        <v>46179.297199074077</v>
      </c>
      <c r="B204" t="s">
        <v>141</v>
      </c>
      <c r="C204" t="s">
        <v>142</v>
      </c>
      <c r="D204" t="s">
        <v>143</v>
      </c>
    </row>
    <row r="205" spans="1:4">
      <c r="A205" s="30">
        <v>46179.297199074077</v>
      </c>
      <c r="B205" t="s">
        <v>141</v>
      </c>
      <c r="C205" t="s">
        <v>144</v>
      </c>
      <c r="D205" t="s">
        <v>147</v>
      </c>
    </row>
    <row r="206" spans="1:4">
      <c r="A206" s="38">
        <v>46179.309106956018</v>
      </c>
      <c r="B206" t="s">
        <v>141</v>
      </c>
      <c r="C206" t="s">
        <v>196</v>
      </c>
      <c r="D206" t="s">
        <v>197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Dashboard</vt:lpstr>
      <vt:lpstr>Production Inventory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Professor6x 🔯</cp:lastModifiedBy>
  <dcterms:created xsi:type="dcterms:W3CDTF">2026-06-06T02:42:19Z</dcterms:created>
  <dcterms:modified xsi:type="dcterms:W3CDTF">2026-06-06T11:28:36Z</dcterms:modified>
</cp:coreProperties>
</file>